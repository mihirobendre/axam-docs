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"/>
    </mc:Choice>
  </mc:AlternateContent>
  <xr:revisionPtr revIDLastSave="0" documentId="8_{7D688125-AD29-7945-9048-3F23C47A5CDF}" xr6:coauthVersionLast="47" xr6:coauthVersionMax="47" xr10:uidLastSave="{00000000-0000-0000-0000-000000000000}"/>
  <bookViews>
    <workbookView xWindow="-20000" yWindow="-8280" windowWidth="18240" windowHeight="18400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B7" i="4"/>
  <c r="S17" i="1"/>
  <c r="R8" i="1"/>
  <c r="S8" i="1"/>
  <c r="V8" i="1"/>
  <c r="R9" i="1"/>
  <c r="V9" i="1" s="1"/>
  <c r="S9" i="1"/>
  <c r="R10" i="1"/>
  <c r="V10" i="1" s="1"/>
  <c r="S10" i="1"/>
  <c r="R11" i="1"/>
  <c r="S11" i="1"/>
  <c r="V11" i="1"/>
  <c r="R12" i="1"/>
  <c r="S12" i="1"/>
  <c r="V12" i="1"/>
  <c r="R13" i="1"/>
  <c r="V13" i="1" s="1"/>
  <c r="S13" i="1"/>
  <c r="R14" i="1"/>
  <c r="V14" i="1" s="1"/>
  <c r="S14" i="1"/>
  <c r="R15" i="1"/>
  <c r="S15" i="1"/>
  <c r="V15" i="1"/>
  <c r="R16" i="1"/>
  <c r="S16" i="1"/>
  <c r="V16" i="1"/>
  <c r="R17" i="1"/>
  <c r="R18" i="1"/>
  <c r="V18" i="1" s="1"/>
  <c r="S18" i="1"/>
  <c r="R19" i="1"/>
  <c r="S19" i="1"/>
  <c r="V19" i="1"/>
  <c r="R20" i="1"/>
  <c r="S20" i="1"/>
  <c r="V20" i="1"/>
  <c r="R21" i="1"/>
  <c r="V21" i="1" s="1"/>
  <c r="S21" i="1"/>
  <c r="R22" i="1"/>
  <c r="V22" i="1" s="1"/>
  <c r="S22" i="1"/>
  <c r="R23" i="1"/>
  <c r="S23" i="1"/>
  <c r="V23" i="1"/>
  <c r="R24" i="1"/>
  <c r="S24" i="1"/>
  <c r="V24" i="1"/>
  <c r="R25" i="1"/>
  <c r="V25" i="1" s="1"/>
  <c r="S25" i="1"/>
  <c r="R26" i="1"/>
  <c r="V26" i="1" s="1"/>
  <c r="S26" i="1"/>
  <c r="R27" i="1"/>
  <c r="S27" i="1"/>
  <c r="V27" i="1"/>
  <c r="R28" i="1"/>
  <c r="S28" i="1"/>
  <c r="V28" i="1"/>
  <c r="R29" i="1"/>
  <c r="V29" i="1" s="1"/>
  <c r="S29" i="1"/>
  <c r="R30" i="1"/>
  <c r="V30" i="1" s="1"/>
  <c r="S30" i="1"/>
  <c r="R31" i="1"/>
  <c r="S31" i="1"/>
  <c r="V31" i="1"/>
  <c r="R32" i="1"/>
  <c r="S32" i="1"/>
  <c r="V32" i="1"/>
  <c r="R33" i="1"/>
  <c r="V33" i="1" s="1"/>
  <c r="S33" i="1"/>
  <c r="R34" i="1"/>
  <c r="V34" i="1" s="1"/>
  <c r="S34" i="1"/>
  <c r="R35" i="1"/>
  <c r="S35" i="1"/>
  <c r="V35" i="1"/>
  <c r="R36" i="1"/>
  <c r="S36" i="1"/>
  <c r="V36" i="1"/>
  <c r="R37" i="1"/>
  <c r="V37" i="1" s="1"/>
  <c r="S37" i="1"/>
  <c r="R38" i="1"/>
  <c r="V38" i="1" s="1"/>
  <c r="S38" i="1"/>
  <c r="R39" i="1"/>
  <c r="S39" i="1"/>
  <c r="V39" i="1"/>
  <c r="R40" i="1"/>
  <c r="S40" i="1"/>
  <c r="V40" i="1"/>
  <c r="R41" i="1"/>
  <c r="V41" i="1" s="1"/>
  <c r="S41" i="1"/>
  <c r="R42" i="1"/>
  <c r="V42" i="1" s="1"/>
  <c r="S42" i="1"/>
  <c r="R43" i="1"/>
  <c r="S43" i="1"/>
  <c r="V43" i="1"/>
  <c r="R44" i="1"/>
  <c r="S44" i="1"/>
  <c r="V44" i="1"/>
  <c r="R45" i="1"/>
  <c r="V45" i="1" s="1"/>
  <c r="S45" i="1"/>
  <c r="R46" i="1"/>
  <c r="V46" i="1" s="1"/>
  <c r="S46" i="1"/>
  <c r="R47" i="1"/>
  <c r="S47" i="1"/>
  <c r="V47" i="1"/>
  <c r="V7" i="1"/>
  <c r="S7" i="1"/>
  <c r="R7" i="1"/>
  <c r="D19" i="1"/>
  <c r="F19" i="1" s="1"/>
  <c r="O19" i="1"/>
  <c r="D20" i="1"/>
  <c r="F20" i="1" s="1"/>
  <c r="O20" i="1"/>
  <c r="D21" i="1"/>
  <c r="F21" i="1" s="1"/>
  <c r="O21" i="1"/>
  <c r="D22" i="1"/>
  <c r="F22" i="1" s="1"/>
  <c r="O22" i="1"/>
  <c r="D23" i="1"/>
  <c r="F23" i="1" s="1"/>
  <c r="O23" i="1"/>
  <c r="D24" i="1"/>
  <c r="F24" i="1" s="1"/>
  <c r="O24" i="1"/>
  <c r="D25" i="1"/>
  <c r="F25" i="1" s="1"/>
  <c r="O25" i="1"/>
  <c r="D26" i="1"/>
  <c r="F26" i="1" s="1"/>
  <c r="O26" i="1"/>
  <c r="D27" i="1"/>
  <c r="F27" i="1" s="1"/>
  <c r="O27" i="1"/>
  <c r="D28" i="1"/>
  <c r="F28" i="1" s="1"/>
  <c r="O28" i="1"/>
  <c r="D29" i="1"/>
  <c r="F29" i="1" s="1"/>
  <c r="O29" i="1"/>
  <c r="D30" i="1"/>
  <c r="F30" i="1" s="1"/>
  <c r="O30" i="1"/>
  <c r="D31" i="1"/>
  <c r="F31" i="1" s="1"/>
  <c r="O31" i="1"/>
  <c r="D32" i="1"/>
  <c r="F32" i="1" s="1"/>
  <c r="O32" i="1"/>
  <c r="D33" i="1"/>
  <c r="F33" i="1" s="1"/>
  <c r="O33" i="1"/>
  <c r="D34" i="1"/>
  <c r="F34" i="1" s="1"/>
  <c r="O34" i="1"/>
  <c r="D35" i="1"/>
  <c r="F35" i="1" s="1"/>
  <c r="O35" i="1"/>
  <c r="D36" i="1"/>
  <c r="F36" i="1" s="1"/>
  <c r="O36" i="1"/>
  <c r="D37" i="1"/>
  <c r="F37" i="1" s="1"/>
  <c r="O37" i="1"/>
  <c r="D38" i="1"/>
  <c r="F38" i="1" s="1"/>
  <c r="O38" i="1"/>
  <c r="D39" i="1"/>
  <c r="F39" i="1" s="1"/>
  <c r="O39" i="1"/>
  <c r="D40" i="1"/>
  <c r="F40" i="1" s="1"/>
  <c r="O40" i="1"/>
  <c r="D41" i="1"/>
  <c r="F41" i="1" s="1"/>
  <c r="O41" i="1"/>
  <c r="D42" i="1"/>
  <c r="F42" i="1" s="1"/>
  <c r="O42" i="1"/>
  <c r="D43" i="1"/>
  <c r="F43" i="1" s="1"/>
  <c r="O43" i="1"/>
  <c r="D44" i="1"/>
  <c r="F44" i="1" s="1"/>
  <c r="O44" i="1"/>
  <c r="D45" i="1"/>
  <c r="F45" i="1" s="1"/>
  <c r="O45" i="1"/>
  <c r="D46" i="1"/>
  <c r="F46" i="1" s="1"/>
  <c r="O46" i="1"/>
  <c r="D47" i="1"/>
  <c r="F47" i="1" s="1"/>
  <c r="O47" i="1"/>
  <c r="V17" i="1" l="1"/>
  <c r="O8" i="1"/>
  <c r="O9" i="1"/>
  <c r="O10" i="1"/>
  <c r="O11" i="1"/>
  <c r="O12" i="1"/>
  <c r="O13" i="1"/>
  <c r="O14" i="1"/>
  <c r="O15" i="1"/>
  <c r="O16" i="1"/>
  <c r="O17" i="1"/>
  <c r="O18" i="1"/>
  <c r="E13" i="4"/>
  <c r="B89" i="3" a="1"/>
  <c r="B89" i="3" s="1"/>
  <c r="B2" i="1"/>
  <c r="B4" i="4"/>
  <c r="B5" i="4"/>
  <c r="B6" i="4"/>
  <c r="H7" i="4"/>
  <c r="B8" i="4"/>
  <c r="H8" i="4" s="1"/>
  <c r="B3" i="4"/>
  <c r="H3" i="4"/>
  <c r="G3" i="4"/>
  <c r="D18" i="1"/>
  <c r="F18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6" i="1"/>
  <c r="F6" i="1" s="1"/>
  <c r="A65" i="3"/>
  <c r="H4" i="4"/>
  <c r="H5" i="4"/>
  <c r="H6" i="4"/>
  <c r="G4" i="4"/>
  <c r="G5" i="4"/>
  <c r="G6" i="4"/>
  <c r="G7" i="4"/>
  <c r="G8" i="4"/>
  <c r="C9" i="4"/>
  <c r="B9" i="4"/>
  <c r="AK4" i="3"/>
  <c r="AJ4" i="3"/>
  <c r="AJ5" i="3"/>
  <c r="AK5" i="3" s="1"/>
  <c r="AM4" i="3"/>
  <c r="A59" i="2"/>
  <c r="F15" i="1"/>
  <c r="A42" i="3" a="1"/>
  <c r="A42" i="3" s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B19" i="3"/>
  <c r="X19" i="3"/>
  <c r="W19" i="3"/>
  <c r="T19" i="3"/>
  <c r="AG19" i="3" s="1"/>
  <c r="AH19" i="3" s="1"/>
  <c r="P19" i="3"/>
  <c r="AJ19" i="3" s="1"/>
  <c r="O19" i="3"/>
  <c r="AB18" i="3"/>
  <c r="T18" i="3"/>
  <c r="O18" i="3"/>
  <c r="P18" i="3" s="1"/>
  <c r="T17" i="3"/>
  <c r="AG17" i="3" s="1"/>
  <c r="AH17" i="3" s="1"/>
  <c r="P17" i="3"/>
  <c r="AJ17" i="3" s="1"/>
  <c r="S16" i="3"/>
  <c r="T16" i="3" s="1"/>
  <c r="O16" i="3"/>
  <c r="P16" i="3" s="1"/>
  <c r="AJ16" i="3" s="1"/>
  <c r="T15" i="3"/>
  <c r="R15" i="3"/>
  <c r="O15" i="3"/>
  <c r="P15" i="3" s="1"/>
  <c r="AJ15" i="3" s="1"/>
  <c r="AJ14" i="3"/>
  <c r="AK14" i="3" s="1"/>
  <c r="T14" i="3"/>
  <c r="AG14" i="3" s="1"/>
  <c r="AH14" i="3" s="1"/>
  <c r="P14" i="3"/>
  <c r="T13" i="3"/>
  <c r="AG13" i="3" s="1"/>
  <c r="AH13" i="3" s="1"/>
  <c r="P13" i="3"/>
  <c r="AJ13" i="3" s="1"/>
  <c r="AL12" i="3"/>
  <c r="AJ12" i="3"/>
  <c r="AK12" i="3" s="1"/>
  <c r="AG12" i="3"/>
  <c r="AH12" i="3" s="1"/>
  <c r="T11" i="3"/>
  <c r="AG11" i="3" s="1"/>
  <c r="AH11" i="3" s="1"/>
  <c r="P11" i="3"/>
  <c r="AJ11" i="3" s="1"/>
  <c r="S10" i="3"/>
  <c r="T10" i="3" s="1"/>
  <c r="O10" i="3"/>
  <c r="P10" i="3" s="1"/>
  <c r="AJ10" i="3" s="1"/>
  <c r="AK9" i="3"/>
  <c r="AJ9" i="3"/>
  <c r="T9" i="3"/>
  <c r="AG9" i="3" s="1"/>
  <c r="AH9" i="3" s="1"/>
  <c r="P9" i="3"/>
  <c r="S8" i="3"/>
  <c r="T8" i="3" s="1"/>
  <c r="O8" i="3"/>
  <c r="P8" i="3" s="1"/>
  <c r="AJ8" i="3" s="1"/>
  <c r="AL7" i="3"/>
  <c r="AK7" i="3"/>
  <c r="AJ7" i="3"/>
  <c r="AG7" i="3"/>
  <c r="AH7" i="3" s="1"/>
  <c r="S6" i="3"/>
  <c r="T6" i="3" s="1"/>
  <c r="O6" i="3"/>
  <c r="P6" i="3" s="1"/>
  <c r="AJ6" i="3" s="1"/>
  <c r="T5" i="3"/>
  <c r="AG5" i="3" s="1"/>
  <c r="AH5" i="3" s="1"/>
  <c r="P5" i="3"/>
  <c r="T4" i="3"/>
  <c r="AG4" i="3" s="1"/>
  <c r="AH4" i="3" s="1"/>
  <c r="P4" i="3"/>
  <c r="E31" i="2"/>
  <c r="F31" i="2" s="1"/>
  <c r="F30" i="2"/>
  <c r="E30" i="2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E23" i="2"/>
  <c r="F23" i="2" s="1"/>
  <c r="F22" i="2"/>
  <c r="E22" i="2"/>
  <c r="E21" i="2"/>
  <c r="F21" i="2" s="1"/>
  <c r="S16" i="2"/>
  <c r="T16" i="2" s="1"/>
  <c r="O16" i="2"/>
  <c r="P16" i="2" s="1"/>
  <c r="AJ16" i="2" s="1"/>
  <c r="AK16" i="2" s="1"/>
  <c r="T15" i="2"/>
  <c r="AG15" i="2" s="1"/>
  <c r="AH15" i="2" s="1"/>
  <c r="P15" i="2"/>
  <c r="AJ15" i="2" s="1"/>
  <c r="AJ14" i="2"/>
  <c r="T14" i="2"/>
  <c r="AG14" i="2" s="1"/>
  <c r="AH14" i="2" s="1"/>
  <c r="P14" i="2"/>
  <c r="AJ13" i="2"/>
  <c r="AG13" i="2"/>
  <c r="AH13" i="2" s="1"/>
  <c r="T13" i="2"/>
  <c r="P13" i="2"/>
  <c r="AJ12" i="2"/>
  <c r="AK12" i="2" s="1"/>
  <c r="AH12" i="2"/>
  <c r="AG12" i="2"/>
  <c r="T12" i="2"/>
  <c r="P12" i="2"/>
  <c r="AJ11" i="2"/>
  <c r="AH11" i="2"/>
  <c r="AG11" i="2"/>
  <c r="S10" i="2"/>
  <c r="T10" i="2" s="1"/>
  <c r="O10" i="2"/>
  <c r="P10" i="2" s="1"/>
  <c r="AJ10" i="2" s="1"/>
  <c r="T9" i="2"/>
  <c r="AG9" i="2" s="1"/>
  <c r="AH9" i="2" s="1"/>
  <c r="P9" i="2"/>
  <c r="AJ9" i="2" s="1"/>
  <c r="AK9" i="2" s="1"/>
  <c r="S8" i="2"/>
  <c r="T8" i="2" s="1"/>
  <c r="AG8" i="2" s="1"/>
  <c r="AH8" i="2" s="1"/>
  <c r="P8" i="2"/>
  <c r="AJ8" i="2" s="1"/>
  <c r="O8" i="2"/>
  <c r="AJ7" i="2"/>
  <c r="AG7" i="2"/>
  <c r="AH7" i="2" s="1"/>
  <c r="T7" i="2"/>
  <c r="P7" i="2"/>
  <c r="AJ6" i="2"/>
  <c r="AK6" i="2" s="1"/>
  <c r="AH6" i="2"/>
  <c r="AG6" i="2"/>
  <c r="T6" i="2"/>
  <c r="P6" i="2"/>
  <c r="AJ5" i="2"/>
  <c r="T5" i="2"/>
  <c r="AG5" i="2" s="1"/>
  <c r="AH5" i="2" s="1"/>
  <c r="P5" i="2"/>
  <c r="AK4" i="2"/>
  <c r="S4" i="2"/>
  <c r="T4" i="2" s="1"/>
  <c r="AG4" i="2" s="1"/>
  <c r="AH4" i="2" s="1"/>
  <c r="O4" i="2"/>
  <c r="P4" i="2" s="1"/>
  <c r="AJ4" i="2" s="1"/>
  <c r="H9" i="4" l="1"/>
  <c r="E12" i="4" s="1"/>
  <c r="E14" i="4" s="1"/>
  <c r="AL4" i="3"/>
  <c r="AG6" i="3"/>
  <c r="AH6" i="3" s="1"/>
  <c r="AL9" i="3"/>
  <c r="AM9" i="3"/>
  <c r="AK19" i="3"/>
  <c r="AM19" i="3" s="1"/>
  <c r="AL19" i="3"/>
  <c r="AK10" i="3"/>
  <c r="AG10" i="3"/>
  <c r="AH10" i="3" s="1"/>
  <c r="AL17" i="3"/>
  <c r="AK17" i="3"/>
  <c r="AK15" i="3"/>
  <c r="AK16" i="3"/>
  <c r="AL16" i="3"/>
  <c r="AG16" i="3"/>
  <c r="AH16" i="3" s="1"/>
  <c r="AL5" i="3"/>
  <c r="AL8" i="3"/>
  <c r="AK8" i="3"/>
  <c r="AL11" i="3"/>
  <c r="AK11" i="3"/>
  <c r="AK6" i="3"/>
  <c r="AL6" i="3"/>
  <c r="AM12" i="3"/>
  <c r="AG15" i="3"/>
  <c r="AH15" i="3" s="1"/>
  <c r="AL13" i="3"/>
  <c r="AK13" i="3"/>
  <c r="AG8" i="3"/>
  <c r="AH8" i="3" s="1"/>
  <c r="AM14" i="3"/>
  <c r="AG18" i="3"/>
  <c r="AH18" i="3" s="1"/>
  <c r="AJ18" i="3"/>
  <c r="AL14" i="3"/>
  <c r="AM7" i="3"/>
  <c r="AM4" i="2"/>
  <c r="A36" i="2" a="1"/>
  <c r="A36" i="2" s="1"/>
  <c r="AM6" i="2"/>
  <c r="AM9" i="2"/>
  <c r="AL11" i="2"/>
  <c r="AK11" i="2"/>
  <c r="AL13" i="2"/>
  <c r="AK10" i="2"/>
  <c r="AL10" i="2"/>
  <c r="AL14" i="2"/>
  <c r="AG16" i="2"/>
  <c r="AH16" i="2" s="1"/>
  <c r="AM16" i="2" s="1"/>
  <c r="AL5" i="2"/>
  <c r="AK5" i="2"/>
  <c r="AL9" i="2"/>
  <c r="AL7" i="2"/>
  <c r="AG10" i="2"/>
  <c r="AH10" i="2" s="1"/>
  <c r="AL4" i="2"/>
  <c r="AK8" i="2"/>
  <c r="AL8" i="2"/>
  <c r="AM12" i="2"/>
  <c r="AL15" i="2"/>
  <c r="AK15" i="2"/>
  <c r="AL6" i="2"/>
  <c r="AK7" i="2"/>
  <c r="AL12" i="2"/>
  <c r="AK13" i="2"/>
  <c r="AK14" i="2"/>
  <c r="G23" i="1" l="1"/>
  <c r="W23" i="1" s="1"/>
  <c r="G32" i="1"/>
  <c r="W32" i="1" s="1"/>
  <c r="U32" i="1" s="1"/>
  <c r="X32" i="1" s="1"/>
  <c r="G39" i="1"/>
  <c r="W39" i="1" s="1"/>
  <c r="G47" i="1"/>
  <c r="W47" i="1" s="1"/>
  <c r="U47" i="1" s="1"/>
  <c r="X47" i="1" s="1"/>
  <c r="G29" i="1"/>
  <c r="W29" i="1" s="1"/>
  <c r="G27" i="1"/>
  <c r="W27" i="1" s="1"/>
  <c r="G25" i="1"/>
  <c r="W25" i="1" s="1"/>
  <c r="G41" i="1"/>
  <c r="W41" i="1" s="1"/>
  <c r="G21" i="1"/>
  <c r="W21" i="1" s="1"/>
  <c r="G30" i="1"/>
  <c r="W30" i="1" s="1"/>
  <c r="G37" i="1"/>
  <c r="W37" i="1" s="1"/>
  <c r="G46" i="1"/>
  <c r="W46" i="1" s="1"/>
  <c r="G19" i="1"/>
  <c r="W19" i="1" s="1"/>
  <c r="G28" i="1"/>
  <c r="W28" i="1" s="1"/>
  <c r="U28" i="1" s="1"/>
  <c r="X28" i="1" s="1"/>
  <c r="G35" i="1"/>
  <c r="W35" i="1" s="1"/>
  <c r="U35" i="1" s="1"/>
  <c r="X35" i="1" s="1"/>
  <c r="G44" i="1"/>
  <c r="W44" i="1" s="1"/>
  <c r="U44" i="1" s="1"/>
  <c r="X44" i="1" s="1"/>
  <c r="G26" i="1"/>
  <c r="W26" i="1" s="1"/>
  <c r="G33" i="1"/>
  <c r="W33" i="1" s="1"/>
  <c r="G42" i="1"/>
  <c r="W42" i="1" s="1"/>
  <c r="G24" i="1"/>
  <c r="W24" i="1" s="1"/>
  <c r="U24" i="1" s="1"/>
  <c r="X24" i="1" s="1"/>
  <c r="G31" i="1"/>
  <c r="W31" i="1" s="1"/>
  <c r="U31" i="1" s="1"/>
  <c r="X31" i="1" s="1"/>
  <c r="G40" i="1"/>
  <c r="W40" i="1" s="1"/>
  <c r="U40" i="1" s="1"/>
  <c r="X40" i="1" s="1"/>
  <c r="G22" i="1"/>
  <c r="W22" i="1" s="1"/>
  <c r="G38" i="1"/>
  <c r="W38" i="1" s="1"/>
  <c r="G45" i="1"/>
  <c r="W45" i="1" s="1"/>
  <c r="G20" i="1"/>
  <c r="W20" i="1" s="1"/>
  <c r="U20" i="1" s="1"/>
  <c r="X20" i="1" s="1"/>
  <c r="G36" i="1"/>
  <c r="W36" i="1" s="1"/>
  <c r="U36" i="1" s="1"/>
  <c r="X36" i="1" s="1"/>
  <c r="G43" i="1"/>
  <c r="W43" i="1" s="1"/>
  <c r="G34" i="1"/>
  <c r="W34" i="1" s="1"/>
  <c r="G16" i="1"/>
  <c r="W16" i="1" s="1"/>
  <c r="U16" i="1" s="1"/>
  <c r="X16" i="1" s="1"/>
  <c r="G14" i="1"/>
  <c r="W14" i="1" s="1"/>
  <c r="G13" i="1"/>
  <c r="W13" i="1" s="1"/>
  <c r="U13" i="1" s="1"/>
  <c r="X13" i="1" s="1"/>
  <c r="G18" i="1"/>
  <c r="W18" i="1" s="1"/>
  <c r="G7" i="1"/>
  <c r="W7" i="1" s="1"/>
  <c r="U7" i="1" s="1"/>
  <c r="G17" i="1"/>
  <c r="W17" i="1" s="1"/>
  <c r="G8" i="1"/>
  <c r="W8" i="1" s="1"/>
  <c r="G15" i="1"/>
  <c r="W15" i="1" s="1"/>
  <c r="G9" i="1"/>
  <c r="W9" i="1" s="1"/>
  <c r="U9" i="1" s="1"/>
  <c r="X9" i="1" s="1"/>
  <c r="G12" i="1"/>
  <c r="W12" i="1" s="1"/>
  <c r="U12" i="1" s="1"/>
  <c r="X12" i="1" s="1"/>
  <c r="G11" i="1"/>
  <c r="W11" i="1" s="1"/>
  <c r="G10" i="1"/>
  <c r="W10" i="1" s="1"/>
  <c r="B49" i="3"/>
  <c r="C49" i="3" s="1"/>
  <c r="AM6" i="3"/>
  <c r="AM8" i="3"/>
  <c r="AM13" i="3"/>
  <c r="AM11" i="3"/>
  <c r="AL10" i="3"/>
  <c r="AL18" i="3"/>
  <c r="AK18" i="3"/>
  <c r="AM10" i="3"/>
  <c r="AM16" i="3"/>
  <c r="AM15" i="3"/>
  <c r="B56" i="3"/>
  <c r="C56" i="3" s="1"/>
  <c r="B54" i="3"/>
  <c r="C54" i="3" s="1"/>
  <c r="AM5" i="3"/>
  <c r="AL15" i="3"/>
  <c r="B51" i="3"/>
  <c r="C51" i="3" s="1"/>
  <c r="AM17" i="3"/>
  <c r="B52" i="2"/>
  <c r="C52" i="2" s="1"/>
  <c r="AM14" i="2"/>
  <c r="AM5" i="2"/>
  <c r="AM11" i="2"/>
  <c r="AM7" i="2"/>
  <c r="B42" i="2"/>
  <c r="AM8" i="2"/>
  <c r="B46" i="2"/>
  <c r="C46" i="2" s="1"/>
  <c r="AN12" i="2"/>
  <c r="B49" i="2"/>
  <c r="C49" i="2" s="1"/>
  <c r="AM10" i="2"/>
  <c r="AM13" i="2"/>
  <c r="AL16" i="2"/>
  <c r="AM15" i="2"/>
  <c r="U41" i="1" l="1"/>
  <c r="X41" i="1"/>
  <c r="U25" i="1"/>
  <c r="X25" i="1"/>
  <c r="U27" i="1"/>
  <c r="X27" i="1"/>
  <c r="U29" i="1"/>
  <c r="X29" i="1" s="1"/>
  <c r="U34" i="1"/>
  <c r="X34" i="1" s="1"/>
  <c r="U17" i="1"/>
  <c r="X17" i="1" s="1"/>
  <c r="U42" i="1"/>
  <c r="X42" i="1" s="1"/>
  <c r="U37" i="1"/>
  <c r="X37" i="1" s="1"/>
  <c r="U39" i="1"/>
  <c r="X39" i="1"/>
  <c r="U22" i="1"/>
  <c r="X22" i="1" s="1"/>
  <c r="U15" i="1"/>
  <c r="X15" i="1" s="1"/>
  <c r="U19" i="1"/>
  <c r="X19" i="1" s="1"/>
  <c r="U43" i="1"/>
  <c r="X43" i="1"/>
  <c r="X7" i="1"/>
  <c r="U33" i="1"/>
  <c r="X33" i="1" s="1"/>
  <c r="U30" i="1"/>
  <c r="X30" i="1" s="1"/>
  <c r="U11" i="1"/>
  <c r="X11" i="1" s="1"/>
  <c r="U38" i="1"/>
  <c r="X38" i="1" s="1"/>
  <c r="U14" i="1"/>
  <c r="X14" i="1" s="1"/>
  <c r="U8" i="1"/>
  <c r="X8" i="1"/>
  <c r="U46" i="1"/>
  <c r="X46" i="1" s="1"/>
  <c r="U10" i="1"/>
  <c r="X10" i="1"/>
  <c r="U18" i="1"/>
  <c r="X18" i="1" s="1"/>
  <c r="U45" i="1"/>
  <c r="X45" i="1" s="1"/>
  <c r="U26" i="1"/>
  <c r="X26" i="1" s="1"/>
  <c r="U21" i="1"/>
  <c r="X21" i="1"/>
  <c r="U23" i="1"/>
  <c r="X23" i="1"/>
  <c r="B50" i="3"/>
  <c r="C50" i="3" s="1"/>
  <c r="B48" i="3"/>
  <c r="C48" i="3" s="1"/>
  <c r="B59" i="3"/>
  <c r="C59" i="3" s="1"/>
  <c r="AN15" i="3"/>
  <c r="B57" i="3"/>
  <c r="C57" i="3" s="1"/>
  <c r="B55" i="3"/>
  <c r="C55" i="3" s="1"/>
  <c r="B52" i="3"/>
  <c r="C52" i="3" s="1"/>
  <c r="B53" i="3"/>
  <c r="C53" i="3" s="1"/>
  <c r="AN11" i="3"/>
  <c r="B47" i="3"/>
  <c r="C47" i="3" s="1"/>
  <c r="B58" i="3"/>
  <c r="C58" i="3" s="1"/>
  <c r="AM18" i="3"/>
  <c r="AN10" i="3" s="1"/>
  <c r="B46" i="3"/>
  <c r="C46" i="3" s="1"/>
  <c r="B43" i="2"/>
  <c r="C43" i="2" s="1"/>
  <c r="AN5" i="2"/>
  <c r="AN13" i="2"/>
  <c r="B50" i="2"/>
  <c r="C50" i="2" s="1"/>
  <c r="AN8" i="2"/>
  <c r="B45" i="2"/>
  <c r="C45" i="2" s="1"/>
  <c r="AN11" i="2"/>
  <c r="B48" i="2"/>
  <c r="C48" i="2" s="1"/>
  <c r="B51" i="2"/>
  <c r="C51" i="2" s="1"/>
  <c r="AN14" i="2"/>
  <c r="C42" i="2"/>
  <c r="AN6" i="2"/>
  <c r="AN9" i="2"/>
  <c r="B47" i="2"/>
  <c r="C47" i="2" s="1"/>
  <c r="AN10" i="2"/>
  <c r="AN7" i="2"/>
  <c r="B44" i="2"/>
  <c r="C44" i="2" s="1"/>
  <c r="AN15" i="2"/>
  <c r="AN4" i="2"/>
  <c r="AN16" i="2"/>
  <c r="AN18" i="3" l="1"/>
  <c r="B60" i="3"/>
  <c r="C60" i="3" s="1"/>
  <c r="AN14" i="3"/>
  <c r="AN9" i="3"/>
  <c r="AN17" i="3"/>
  <c r="AN19" i="3"/>
  <c r="AN6" i="3"/>
  <c r="AN13" i="3"/>
  <c r="AN8" i="3"/>
  <c r="AN16" i="3"/>
  <c r="AN4" i="3"/>
  <c r="AN12" i="3"/>
  <c r="AN5" i="3"/>
  <c r="AN7" i="3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B80" i="2" a="1"/>
  <c r="B80" i="2" s="1"/>
  <c r="B53" i="2"/>
  <c r="C53" i="2" s="1"/>
  <c r="C82" i="3" l="1"/>
  <c r="C80" i="3"/>
  <c r="C78" i="3"/>
  <c r="C76" i="3"/>
  <c r="C74" i="3"/>
  <c r="C72" i="3"/>
  <c r="C70" i="3"/>
  <c r="B80" i="3"/>
  <c r="B78" i="3"/>
  <c r="B76" i="3"/>
  <c r="B74" i="3"/>
  <c r="B72" i="3"/>
  <c r="B70" i="3"/>
  <c r="B68" i="3"/>
  <c r="B71" i="3"/>
  <c r="C68" i="3"/>
  <c r="B82" i="3"/>
  <c r="B79" i="3"/>
  <c r="B81" i="3"/>
  <c r="B75" i="3"/>
  <c r="B73" i="3"/>
  <c r="B69" i="3"/>
  <c r="C81" i="3"/>
  <c r="C79" i="3"/>
  <c r="C77" i="3"/>
  <c r="C75" i="3"/>
  <c r="C73" i="3"/>
  <c r="C71" i="3"/>
  <c r="C69" i="3"/>
  <c r="B77" i="3"/>
  <c r="D71" i="2"/>
  <c r="E71" i="2"/>
  <c r="D74" i="2"/>
  <c r="E74" i="2"/>
  <c r="E73" i="2"/>
  <c r="D73" i="2"/>
  <c r="E65" i="2"/>
  <c r="D65" i="2"/>
  <c r="E68" i="2"/>
  <c r="D68" i="2"/>
  <c r="E64" i="2"/>
  <c r="D64" i="2"/>
  <c r="D63" i="2"/>
  <c r="E63" i="2"/>
  <c r="E67" i="2"/>
  <c r="D67" i="2"/>
  <c r="E70" i="2"/>
  <c r="D70" i="2"/>
  <c r="E62" i="2"/>
  <c r="D62" i="2"/>
  <c r="E66" i="2"/>
  <c r="D66" i="2"/>
  <c r="E69" i="2"/>
  <c r="D69" i="2"/>
  <c r="D72" i="2"/>
  <c r="E72" i="2"/>
  <c r="D71" i="3" l="1"/>
  <c r="E71" i="3"/>
  <c r="E68" i="3"/>
  <c r="D68" i="3"/>
  <c r="E70" i="3"/>
  <c r="D70" i="3"/>
  <c r="E81" i="3"/>
  <c r="D81" i="3"/>
  <c r="D74" i="3"/>
  <c r="E74" i="3"/>
  <c r="D69" i="3"/>
  <c r="E69" i="3"/>
  <c r="E79" i="3"/>
  <c r="D79" i="3"/>
  <c r="D76" i="3"/>
  <c r="E76" i="3"/>
  <c r="E80" i="3"/>
  <c r="D80" i="3"/>
  <c r="E77" i="3"/>
  <c r="D77" i="3"/>
  <c r="D73" i="3"/>
  <c r="E73" i="3"/>
  <c r="E75" i="3"/>
  <c r="D75" i="3"/>
  <c r="D72" i="3"/>
  <c r="E72" i="3"/>
  <c r="E82" i="3" a="1"/>
  <c r="E82" i="3" s="1"/>
  <c r="D82" i="3" a="1"/>
  <c r="D82" i="3" s="1"/>
  <c r="D78" i="3"/>
  <c r="E78" i="3"/>
  <c r="D76" i="2"/>
  <c r="D75" i="2"/>
  <c r="E76" i="2"/>
  <c r="E75" i="2"/>
  <c r="E84" i="3" l="1"/>
  <c r="E83" i="3"/>
  <c r="D84" i="3"/>
  <c r="D8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<sst xmlns="http://schemas.openxmlformats.org/spreadsheetml/2006/main" count="681" uniqueCount="258">
  <si>
    <t>Year</t>
  </si>
  <si>
    <t>SOC_t_C_ha</t>
  </si>
  <si>
    <t>Project</t>
  </si>
  <si>
    <t>Baseline</t>
  </si>
  <si>
    <t>Difference</t>
  </si>
  <si>
    <t>1 (initialization)</t>
  </si>
  <si>
    <t>Axam 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</si>
  <si>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</si>
  <si>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</si>
  <si>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</si>
  <si>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</si>
  <si>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</si>
  <si>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</si>
  <si>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</si>
  <si>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</si>
  <si>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</si>
  <si>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</si>
  <si>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</si>
  <si>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</si>
  <si>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</si>
  <si>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</si>
  <si>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</si>
  <si>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</si>
  <si>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</si>
  <si>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</si>
  <si>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</si>
  <si>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</si>
  <si>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</si>
  <si>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</si>
  <si>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</si>
  <si>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</si>
  <si>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</si>
  <si>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</si>
  <si>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</si>
  <si>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</si>
  <si>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</si>
  <si>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</si>
  <si>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</si>
  <si>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</si>
  <si>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</si>
  <si>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</si>
  <si>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</si>
  <si>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</si>
  <si>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</si>
  <si>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</si>
  <si>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</si>
  <si>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</si>
  <si>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</si>
  <si>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</si>
  <si>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</si>
  <si>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</si>
  <si>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</si>
  <si>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</si>
  <si>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</si>
  <si>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</si>
  <si>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</si>
  <si>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</si>
  <si>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</si>
  <si>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</si>
  <si>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</si>
  <si>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</si>
  <si>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</si>
  <si>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</si>
  <si>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</si>
  <si>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</si>
  <si>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</si>
  <si>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</si>
  <si>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</si>
  <si>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</si>
  <si>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</si>
  <si>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</si>
  <si>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</si>
  <si>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</si>
  <si>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</si>
  <si>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</si>
  <si>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</si>
  <si>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</si>
  <si>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</si>
  <si>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</si>
  <si>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</si>
  <si>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</si>
  <si>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</si>
  <si>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</si>
  <si>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</si>
  <si>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</si>
  <si>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</si>
  <si>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</si>
  <si>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</si>
  <si>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</si>
  <si>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</si>
  <si>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</si>
  <si>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</si>
  <si>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</si>
  <si>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</si>
  <si>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</si>
  <si>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</si>
  <si>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</si>
  <si>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</si>
  <si>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</si>
  <si>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</si>
  <si>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</si>
  <si>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</si>
  <si>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</si>
  <si>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</si>
  <si>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</si>
  <si>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</si>
  <si>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</si>
  <si>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</si>
  <si>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</si>
  <si>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</si>
  <si>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</si>
  <si>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</si>
  <si>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</si>
  <si>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</si>
  <si>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</si>
  <si>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</si>
  <si>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</si>
  <si>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</si>
  <si>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</si>
  <si>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</si>
  <si>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</si>
  <si>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</si>
  <si>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</si>
  <si>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</si>
  <si>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</si>
  <si>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</si>
  <si>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</si>
  <si>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</si>
  <si>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</si>
  <si>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</si>
  <si>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</si>
  <si>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</si>
  <si>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</si>
  <si>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</si>
  <si>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</si>
  <si>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</si>
  <si>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</si>
  <si>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</si>
  <si>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</si>
  <si>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</si>
  <si>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</si>
  <si>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</si>
  <si>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</si>
  <si>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</si>
  <si>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</si>
  <si>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</si>
  <si>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</si>
  <si>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</si>
  <si>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</si>
  <si>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</si>
  <si>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</si>
  <si>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</si>
  <si>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</si>
  <si>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</si>
  <si>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</si>
  <si>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</si>
  <si>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</si>
  <si>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</si>
  <si>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</si>
  <si>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</si>
  <si>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</si>
  <si>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</si>
  <si>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</si>
  <si>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</si>
  <si>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</si>
  <si>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</si>
  <si>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</si>
  <si>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</si>
  <si>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</si>
  <si>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</si>
  <si>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</si>
  <si>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</si>
  <si>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</si>
  <si>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</si>
  <si>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</si>
  <si>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</si>
  <si>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</si>
  <si>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</si>
  <si>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</si>
  <si>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</si>
  <si>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</si>
  <si>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</si>
  <si>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</si>
  <si>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</si>
  <si>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</si>
  <si>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</si>
  <si>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</si>
  <si>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</si>
  <si>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</si>
  <si>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</si>
  <si>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</si>
  <si>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</si>
  <si>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</si>
  <si>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</si>
  <si>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</si>
  <si>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</si>
  <si>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</si>
  <si>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</si>
  <si>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</si>
  <si>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</si>
  <si>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</si>
  <si>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</si>
  <si>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</si>
  <si>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</si>
  <si>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</si>
  <si>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</si>
  <si>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</si>
  <si>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</si>
  <si>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</si>
  <si>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</si>
  <si>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</si>
  <si>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</si>
  <si>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</si>
  <si>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</si>
  <si>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</si>
  <si>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</si>
  <si>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</si>
  <si>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</si>
  <si>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</si>
  <si>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</si>
  <si>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Caltic Vertisols</t>
  </si>
  <si>
    <t>Dystric Leptosol</t>
  </si>
  <si>
    <t>Eutric Fluvisol</t>
  </si>
  <si>
    <t>Ferric Lixosols</t>
  </si>
  <si>
    <t>Cambic Arenosols</t>
  </si>
  <si>
    <t>Dystric Plinthosols</t>
  </si>
  <si>
    <t>Samples</t>
  </si>
  <si>
    <t>Prediction (RothC Baseline 2025)</t>
  </si>
  <si>
    <t>Field-measurement (2025)</t>
  </si>
  <si>
    <t>Variance (inherent)</t>
  </si>
  <si>
    <t>Variance (calculated)</t>
  </si>
  <si>
    <t>Totals</t>
  </si>
  <si>
    <t>Baseline Scenario (after 2025 field-sampling)</t>
  </si>
  <si>
    <t>Total Error (tC/ha/yr)^2</t>
  </si>
  <si>
    <t>Baseline Sampling Error (tC/ha/yr)^2</t>
  </si>
  <si>
    <t>Units ----&gt;</t>
  </si>
  <si>
    <t>tCO2e</t>
  </si>
  <si>
    <t>Est Error</t>
  </si>
  <si>
    <t>Est ERs</t>
  </si>
  <si>
    <t>Representative Area</t>
  </si>
  <si>
    <t>Model Error (tC/ha/yr)^2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</si>
  <si>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</si>
  <si>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</si>
  <si>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</si>
  <si>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</si>
  <si>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</si>
  <si>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</si>
  <si>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</si>
  <si>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>QA1</t>
  </si>
  <si>
    <t>QA3</t>
  </si>
  <si>
    <r>
      <t>Estimated baseline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</si>
  <si>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project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</si>
  <si>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leakage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</si>
  <si>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reduction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</si>
  <si>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removal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</si>
  <si>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total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</si>
  <si>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t xml:space="preserve">Vintage period </t>
  </si>
  <si>
    <r>
      <t>Estimated buffer pool allocation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</si>
</sst>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  <font>
      <b/>
      <sz val="9.5"/>
      <color rgb="FFFFFFFF"/>
      <name val="Franklin Gothic Book"/>
      <family val="2"/>
    </font>
    <font>
      <b/>
      <vertAlign val="subscript"/>
      <sz val="9.5"/>
      <color rgb="FFFFFFFF"/>
      <name val="Franklin Gothic Book"/>
      <family val="2"/>
    </font>
    <font>
      <sz val="9.5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2B39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3" fillId="0" borderId="0" xfId="0" applyFont="1"/>
    <xf numFmtId="43" fontId="1" fillId="0" borderId="0" xfId="1" applyFont="1"/>
    <xf numFmtId="3" fontId="0" fillId="0" borderId="0" xfId="0" applyNumberForma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27" fillId="2" borderId="11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 wrapText="1"/>
    </xf>
    <xf numFmtId="0" fontId="29" fillId="0" borderId="0" xfId="0" applyFont="1"/>
    <xf numFmtId="0" fontId="27" fillId="2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X47"/>
  <sheetViews>
    <sheetView tabSelected="1" zoomScale="140" workbookViewId="0">
      <selection activeCell="O7" sqref="O7"/>
    </sheetView>
  </sheetViews>
  <sheetFormatPr baseColWidth="10" defaultRowHeight="16" x14ac:dyDescent="0.2"/>
  <cols>
    <col min="1" max="1" width="17.5" customWidth="1"/>
    <col min="4" max="4" width="13" bestFit="1" customWidth="1"/>
    <col min="5" max="5" width="12.1640625" bestFit="1" customWidth="1"/>
    <col min="6" max="6" width="13.33203125" bestFit="1" customWidth="1"/>
    <col min="8" max="8" width="13" bestFit="1" customWidth="1"/>
    <col min="9" max="9" width="33.33203125" customWidth="1"/>
    <col min="10" max="10" width="35.33203125" customWidth="1"/>
    <col min="11" max="11" width="24" customWidth="1"/>
    <col min="12" max="12" width="21.1640625" customWidth="1"/>
    <col min="13" max="13" width="25.1640625" customWidth="1"/>
    <col min="14" max="14" width="27.1640625" customWidth="1"/>
    <col min="15" max="15" width="20.83203125" customWidth="1"/>
    <col min="16" max="16" width="11.5" bestFit="1" customWidth="1"/>
    <col min="18" max="18" width="11.5" bestFit="1" customWidth="1"/>
    <col min="20" max="20" width="12.33203125" bestFit="1" customWidth="1"/>
    <col min="21" max="21" width="12.33203125" customWidth="1"/>
    <col min="23" max="24" width="12.5" bestFit="1" customWidth="1"/>
  </cols>
  <sheetData>
    <row r="2" spans="1:24" x14ac:dyDescent="0.2">
      <c r="A2" t="s">
        <v>6</v>
      </c>
      <c r="B2" s="4">
        <f>45000*0.2</f>
        <v>9000</v>
      </c>
    </row>
    <row r="3" spans="1:24" x14ac:dyDescent="0.2">
      <c r="F3" s="128" t="s">
        <v>248</v>
      </c>
      <c r="G3" s="128"/>
      <c r="I3" s="128" t="s">
        <v>249</v>
      </c>
      <c r="J3" s="128"/>
      <c r="K3" s="128"/>
      <c r="L3" s="128"/>
      <c r="M3" s="128"/>
      <c r="N3" s="128"/>
      <c r="O3" s="128"/>
    </row>
    <row r="4" spans="1:24" x14ac:dyDescent="0.2">
      <c r="A4" s="1" t="s">
        <v>0</v>
      </c>
      <c r="B4" s="2" t="s">
        <v>2</v>
      </c>
      <c r="C4" s="2" t="s">
        <v>3</v>
      </c>
      <c r="D4" s="2" t="s">
        <v>4</v>
      </c>
      <c r="F4" s="2" t="s">
        <v>238</v>
      </c>
      <c r="G4" s="2" t="s">
        <v>237</v>
      </c>
      <c r="I4" s="2" t="s">
        <v>241</v>
      </c>
      <c r="J4" s="2" t="s">
        <v>242</v>
      </c>
      <c r="K4" s="2" t="s">
        <v>243</v>
      </c>
      <c r="L4" s="2" t="s">
        <v>244</v>
      </c>
      <c r="M4" s="2" t="s">
        <v>245</v>
      </c>
      <c r="N4" s="2" t="s">
        <v>246</v>
      </c>
      <c r="O4" s="2" t="s">
        <v>247</v>
      </c>
      <c r="Q4" s="2"/>
      <c r="T4" s="2"/>
      <c r="U4" s="2"/>
    </row>
    <row r="5" spans="1:24" ht="17" thickBot="1" x14ac:dyDescent="0.25">
      <c r="A5" t="s">
        <v>235</v>
      </c>
      <c r="B5" t="s">
        <v>1</v>
      </c>
      <c r="C5" t="s">
        <v>1</v>
      </c>
      <c r="D5" s="1" t="s">
        <v>1</v>
      </c>
      <c r="F5" s="1" t="s">
        <v>236</v>
      </c>
      <c r="G5" s="1" t="s">
        <v>236</v>
      </c>
      <c r="I5" t="s">
        <v>236</v>
      </c>
      <c r="J5" t="s">
        <v>236</v>
      </c>
      <c r="K5" t="s">
        <v>236</v>
      </c>
      <c r="L5" t="s">
        <v>236</v>
      </c>
      <c r="M5" t="s">
        <v>236</v>
      </c>
      <c r="N5" t="s">
        <v>236</v>
      </c>
      <c r="O5" t="s">
        <v>236</v>
      </c>
    </row>
    <row r="6" spans="1:24" ht="61" thickBot="1" x14ac:dyDescent="0.25">
      <c r="A6" s="1" t="s">
        <v>5</v>
      </c>
      <c r="B6">
        <v>36.164812949999998</v>
      </c>
      <c r="C6">
        <v>28.225958439999999</v>
      </c>
      <c r="D6">
        <f t="shared" ref="D6:D18" si="0">(B6 -C6)</f>
        <v>7.9388545099999988</v>
      </c>
      <c r="F6" s="3">
        <f>D6*$B$2*44/12</f>
        <v>261982.19882999992</v>
      </c>
      <c r="Q6" s="126" t="s">
        <v>256</v>
      </c>
      <c r="R6" s="124" t="s">
        <v>250</v>
      </c>
      <c r="S6" s="124" t="s">
        <v>251</v>
      </c>
      <c r="T6" s="124" t="s">
        <v>252</v>
      </c>
      <c r="U6" s="127" t="s">
        <v>257</v>
      </c>
      <c r="V6" s="124" t="s">
        <v>253</v>
      </c>
      <c r="W6" s="124" t="s">
        <v>254</v>
      </c>
      <c r="X6" s="125" t="s">
        <v>255</v>
      </c>
    </row>
    <row r="7" spans="1:24" x14ac:dyDescent="0.2">
      <c r="A7" s="1">
        <v>2025</v>
      </c>
      <c r="B7">
        <v>36.164813930000001</v>
      </c>
      <c r="C7">
        <v>28.225957480000002</v>
      </c>
      <c r="D7">
        <f t="shared" si="0"/>
        <v>7.9388564499999994</v>
      </c>
      <c r="F7" s="3">
        <f t="shared" ref="F7:F18" si="1">D7*$B$2*44/12</f>
        <v>261982.26285000003</v>
      </c>
      <c r="G7">
        <f>SQRT('Sampling &amp; Combined Error'!$E$14)*$B$2*44/12</f>
        <v>17330.612745158352</v>
      </c>
      <c r="I7">
        <v>107.49299999999999</v>
      </c>
      <c r="J7">
        <v>187.74719999999999</v>
      </c>
      <c r="K7">
        <v>1554.49771021999</v>
      </c>
      <c r="L7">
        <v>1107.5355199999999</v>
      </c>
      <c r="M7">
        <v>6085.8626000000004</v>
      </c>
      <c r="N7">
        <v>3042.9313000000002</v>
      </c>
      <c r="O7">
        <f>(N7+L7)-(I7+J7+K7+M7)</f>
        <v>-3785.133690219991</v>
      </c>
      <c r="Q7" s="1">
        <v>2025</v>
      </c>
      <c r="R7">
        <f>SUM(I7,J7,K7,M7)</f>
        <v>7935.6005102199906</v>
      </c>
      <c r="S7">
        <f>SUM(L7,N7)</f>
        <v>4150.4668199999996</v>
      </c>
      <c r="T7">
        <v>0</v>
      </c>
      <c r="U7" s="123">
        <f>(W7+V7)*0.175</f>
        <v>43476.437164135787</v>
      </c>
      <c r="V7">
        <f>R7-S7</f>
        <v>3785.133690219991</v>
      </c>
      <c r="W7" s="123">
        <f>F7-G7</f>
        <v>244651.65010484168</v>
      </c>
      <c r="X7" s="123">
        <f>W7+V7-U7</f>
        <v>204960.34663092589</v>
      </c>
    </row>
    <row r="8" spans="1:24" x14ac:dyDescent="0.2">
      <c r="A8" s="1">
        <v>2026</v>
      </c>
      <c r="B8">
        <v>36.164814890000002</v>
      </c>
      <c r="C8">
        <v>28.619948829999998</v>
      </c>
      <c r="D8">
        <f t="shared" si="0"/>
        <v>7.5448660600000039</v>
      </c>
      <c r="F8" s="3">
        <f t="shared" si="1"/>
        <v>248980.57998000013</v>
      </c>
      <c r="G8">
        <f>SQRT('Sampling &amp; Combined Error'!$E$14)*$B$2*44/12</f>
        <v>17330.612745158352</v>
      </c>
      <c r="I8">
        <v>107.49299999999999</v>
      </c>
      <c r="J8">
        <v>187.74719999999999</v>
      </c>
      <c r="K8">
        <v>1554.49771021999</v>
      </c>
      <c r="L8">
        <v>1107.5355199999999</v>
      </c>
      <c r="M8">
        <v>6085.8626000000004</v>
      </c>
      <c r="N8">
        <v>3042.9313000000002</v>
      </c>
      <c r="O8">
        <f t="shared" ref="O8:O18" si="2">(N8+L8)-(I8+J8+K8+M8)</f>
        <v>-3785.133690219991</v>
      </c>
      <c r="Q8" s="1">
        <v>2026</v>
      </c>
      <c r="R8">
        <f t="shared" ref="R8:R47" si="3">SUM(I8,J8,K8,M8)</f>
        <v>7935.6005102199906</v>
      </c>
      <c r="S8">
        <f t="shared" ref="S8:S47" si="4">SUM(L8,N8)</f>
        <v>4150.4668199999996</v>
      </c>
      <c r="T8">
        <v>1</v>
      </c>
      <c r="U8" s="123">
        <f t="shared" ref="U8:U47" si="5">(W8+V8)*0.175</f>
        <v>41201.14266188581</v>
      </c>
      <c r="V8">
        <f t="shared" ref="V8:V47" si="6">R8-S8</f>
        <v>3785.133690219991</v>
      </c>
      <c r="W8" s="123">
        <f t="shared" ref="W8:W47" si="7">F8-G8</f>
        <v>231649.96723484178</v>
      </c>
      <c r="X8" s="123">
        <f t="shared" ref="X8:X47" si="8">W8+V8-U8</f>
        <v>194233.95826317597</v>
      </c>
    </row>
    <row r="9" spans="1:24" x14ac:dyDescent="0.2">
      <c r="A9" s="1">
        <v>2027</v>
      </c>
      <c r="B9">
        <v>36.164815840000003</v>
      </c>
      <c r="C9">
        <v>28.246774009999999</v>
      </c>
      <c r="D9">
        <f t="shared" si="0"/>
        <v>7.9180418300000035</v>
      </c>
      <c r="F9" s="3">
        <f t="shared" si="1"/>
        <v>261295.38039000009</v>
      </c>
      <c r="G9">
        <f>SQRT('Sampling &amp; Combined Error'!$E$14)*$B$2*44/12</f>
        <v>17330.612745158352</v>
      </c>
      <c r="I9">
        <v>107.49299999999999</v>
      </c>
      <c r="J9">
        <v>187.74719999999999</v>
      </c>
      <c r="K9">
        <v>1554.49771021999</v>
      </c>
      <c r="L9">
        <v>1107.5355199999999</v>
      </c>
      <c r="M9">
        <v>6085.8626000000004</v>
      </c>
      <c r="N9">
        <v>3042.9313000000002</v>
      </c>
      <c r="O9">
        <f t="shared" si="2"/>
        <v>-3785.133690219991</v>
      </c>
      <c r="Q9" s="1">
        <v>2027</v>
      </c>
      <c r="R9">
        <f t="shared" si="3"/>
        <v>7935.6005102199906</v>
      </c>
      <c r="S9">
        <f t="shared" si="4"/>
        <v>4150.4668199999996</v>
      </c>
      <c r="T9">
        <v>2</v>
      </c>
      <c r="U9" s="123">
        <f t="shared" si="5"/>
        <v>43356.232733635799</v>
      </c>
      <c r="V9">
        <f t="shared" si="6"/>
        <v>3785.133690219991</v>
      </c>
      <c r="W9" s="123">
        <f t="shared" si="7"/>
        <v>243964.76764484175</v>
      </c>
      <c r="X9" s="123">
        <f t="shared" si="8"/>
        <v>204393.66860142595</v>
      </c>
    </row>
    <row r="10" spans="1:24" x14ac:dyDescent="0.2">
      <c r="A10" s="1">
        <v>2028</v>
      </c>
      <c r="B10">
        <v>36.164816760000001</v>
      </c>
      <c r="C10">
        <v>28.240847299999999</v>
      </c>
      <c r="D10">
        <f t="shared" si="0"/>
        <v>7.9239694600000021</v>
      </c>
      <c r="F10" s="3">
        <f t="shared" si="1"/>
        <v>261490.99218000009</v>
      </c>
      <c r="G10">
        <f>SQRT('Sampling &amp; Combined Error'!$E$14)*$B$2*44/12</f>
        <v>17330.612745158352</v>
      </c>
      <c r="I10">
        <v>107.49299999999999</v>
      </c>
      <c r="J10">
        <v>187.74719999999999</v>
      </c>
      <c r="K10">
        <v>1554.49771021999</v>
      </c>
      <c r="L10">
        <v>1107.5355199999999</v>
      </c>
      <c r="M10">
        <v>6085.8626000000004</v>
      </c>
      <c r="N10">
        <v>3042.9313000000002</v>
      </c>
      <c r="O10">
        <f t="shared" si="2"/>
        <v>-3785.133690219991</v>
      </c>
      <c r="Q10" s="1">
        <v>2028</v>
      </c>
      <c r="R10">
        <f t="shared" si="3"/>
        <v>7935.6005102199906</v>
      </c>
      <c r="S10">
        <f t="shared" si="4"/>
        <v>4150.4668199999996</v>
      </c>
      <c r="T10">
        <v>3</v>
      </c>
      <c r="U10" s="123">
        <f t="shared" si="5"/>
        <v>43390.464796885797</v>
      </c>
      <c r="V10">
        <f t="shared" si="6"/>
        <v>3785.133690219991</v>
      </c>
      <c r="W10" s="123">
        <f t="shared" si="7"/>
        <v>244160.37943484174</v>
      </c>
      <c r="X10" s="123">
        <f t="shared" si="8"/>
        <v>204555.04832817594</v>
      </c>
    </row>
    <row r="11" spans="1:24" x14ac:dyDescent="0.2">
      <c r="A11" s="1">
        <v>2029</v>
      </c>
      <c r="B11">
        <v>36.164817669999998</v>
      </c>
      <c r="C11">
        <v>28.2366928</v>
      </c>
      <c r="D11">
        <f t="shared" si="0"/>
        <v>7.9281248699999978</v>
      </c>
      <c r="F11" s="3">
        <f t="shared" si="1"/>
        <v>261628.12070999993</v>
      </c>
      <c r="G11">
        <f>SQRT('Sampling &amp; Combined Error'!$E$14)*$B$2*44/12</f>
        <v>17330.612745158352</v>
      </c>
      <c r="I11">
        <v>107.49299999999999</v>
      </c>
      <c r="J11">
        <v>187.74719999999999</v>
      </c>
      <c r="K11">
        <v>1554.49771021999</v>
      </c>
      <c r="L11">
        <v>1107.5355199999999</v>
      </c>
      <c r="M11">
        <v>6085.8626000000004</v>
      </c>
      <c r="N11">
        <v>3042.9313000000002</v>
      </c>
      <c r="O11">
        <f t="shared" si="2"/>
        <v>-3785.133690219991</v>
      </c>
      <c r="Q11" s="1">
        <v>2029</v>
      </c>
      <c r="R11">
        <f t="shared" si="3"/>
        <v>7935.6005102199906</v>
      </c>
      <c r="S11">
        <f t="shared" si="4"/>
        <v>4150.4668199999996</v>
      </c>
      <c r="T11">
        <v>4</v>
      </c>
      <c r="U11" s="123">
        <f t="shared" si="5"/>
        <v>43414.462289635769</v>
      </c>
      <c r="V11">
        <f t="shared" si="6"/>
        <v>3785.133690219991</v>
      </c>
      <c r="W11" s="123">
        <f t="shared" si="7"/>
        <v>244297.50796484158</v>
      </c>
      <c r="X11" s="123">
        <f t="shared" si="8"/>
        <v>204668.17936542581</v>
      </c>
    </row>
    <row r="12" spans="1:24" x14ac:dyDescent="0.2">
      <c r="A12" s="1">
        <v>2030</v>
      </c>
      <c r="B12">
        <v>36.164818560000001</v>
      </c>
      <c r="C12">
        <v>28.233756159999999</v>
      </c>
      <c r="D12">
        <f t="shared" si="0"/>
        <v>7.9310624000000018</v>
      </c>
      <c r="F12" s="3">
        <f t="shared" si="1"/>
        <v>261725.05920000005</v>
      </c>
      <c r="G12">
        <f>SQRT('Sampling &amp; Combined Error'!$E$14)*$B$2*44/12</f>
        <v>17330.612745158352</v>
      </c>
      <c r="I12">
        <v>107.49299999999999</v>
      </c>
      <c r="J12">
        <v>187.74719999999999</v>
      </c>
      <c r="K12">
        <v>1554.49771021999</v>
      </c>
      <c r="L12">
        <v>1107.5355199999999</v>
      </c>
      <c r="M12">
        <v>6085.8626000000004</v>
      </c>
      <c r="N12">
        <v>3042.9313000000002</v>
      </c>
      <c r="O12">
        <f t="shared" si="2"/>
        <v>-3785.133690219991</v>
      </c>
      <c r="Q12" s="1">
        <v>2030</v>
      </c>
      <c r="R12">
        <f t="shared" si="3"/>
        <v>7935.6005102199906</v>
      </c>
      <c r="S12">
        <f t="shared" si="4"/>
        <v>4150.4668199999996</v>
      </c>
      <c r="T12">
        <v>5</v>
      </c>
      <c r="U12" s="123">
        <f t="shared" si="5"/>
        <v>43431.426525385796</v>
      </c>
      <c r="V12">
        <f t="shared" si="6"/>
        <v>3785.133690219991</v>
      </c>
      <c r="W12" s="123">
        <f t="shared" si="7"/>
        <v>244394.4464548417</v>
      </c>
      <c r="X12" s="123">
        <f t="shared" si="8"/>
        <v>204748.1536196759</v>
      </c>
    </row>
    <row r="13" spans="1:24" x14ac:dyDescent="0.2">
      <c r="A13" s="1">
        <v>2031</v>
      </c>
      <c r="B13">
        <v>36.164819440000002</v>
      </c>
      <c r="C13">
        <v>28.23166866</v>
      </c>
      <c r="D13">
        <f t="shared" si="0"/>
        <v>7.9331507800000018</v>
      </c>
      <c r="F13" s="3">
        <f t="shared" si="1"/>
        <v>261793.97574000002</v>
      </c>
      <c r="G13">
        <f>SQRT('Sampling &amp; Combined Error'!$E$14)*$B$2*44/12</f>
        <v>17330.612745158352</v>
      </c>
      <c r="I13">
        <v>107.49299999999999</v>
      </c>
      <c r="J13">
        <v>187.74719999999999</v>
      </c>
      <c r="K13">
        <v>1554.49771021999</v>
      </c>
      <c r="L13">
        <v>1107.5355199999999</v>
      </c>
      <c r="M13">
        <v>6085.8626000000004</v>
      </c>
      <c r="N13">
        <v>3042.9313000000002</v>
      </c>
      <c r="O13">
        <f t="shared" si="2"/>
        <v>-3785.133690219991</v>
      </c>
      <c r="Q13" s="1">
        <v>2031</v>
      </c>
      <c r="R13">
        <f t="shared" si="3"/>
        <v>7935.6005102199906</v>
      </c>
      <c r="S13">
        <f t="shared" si="4"/>
        <v>4150.4668199999996</v>
      </c>
      <c r="T13">
        <v>6</v>
      </c>
      <c r="U13" s="123">
        <f t="shared" si="5"/>
        <v>43443.486919885785</v>
      </c>
      <c r="V13">
        <f t="shared" si="6"/>
        <v>3785.133690219991</v>
      </c>
      <c r="W13" s="123">
        <f t="shared" si="7"/>
        <v>244463.36299484168</v>
      </c>
      <c r="X13" s="123">
        <f t="shared" si="8"/>
        <v>204805.00976517587</v>
      </c>
    </row>
    <row r="14" spans="1:24" x14ac:dyDescent="0.2">
      <c r="A14" s="1">
        <v>2032</v>
      </c>
      <c r="B14">
        <v>36.164820300000002</v>
      </c>
      <c r="C14">
        <v>28.230178179999999</v>
      </c>
      <c r="D14">
        <f t="shared" si="0"/>
        <v>7.934642120000003</v>
      </c>
      <c r="F14" s="3">
        <f t="shared" si="1"/>
        <v>261843.18996000008</v>
      </c>
      <c r="G14">
        <f>SQRT('Sampling &amp; Combined Error'!$E$14)*$B$2*44/12</f>
        <v>17330.612745158352</v>
      </c>
      <c r="I14">
        <v>107.49299999999999</v>
      </c>
      <c r="J14">
        <v>187.74719999999999</v>
      </c>
      <c r="K14">
        <v>1554.49771021999</v>
      </c>
      <c r="L14">
        <v>1107.5355199999999</v>
      </c>
      <c r="M14">
        <v>6085.8626000000004</v>
      </c>
      <c r="N14">
        <v>3042.9313000000002</v>
      </c>
      <c r="O14">
        <f t="shared" si="2"/>
        <v>-3785.133690219991</v>
      </c>
      <c r="Q14" s="1">
        <v>2032</v>
      </c>
      <c r="R14">
        <f t="shared" si="3"/>
        <v>7935.6005102199906</v>
      </c>
      <c r="S14">
        <f t="shared" si="4"/>
        <v>4150.4668199999996</v>
      </c>
      <c r="T14">
        <v>7</v>
      </c>
      <c r="U14" s="123">
        <f t="shared" si="5"/>
        <v>43452.099408385795</v>
      </c>
      <c r="V14">
        <f t="shared" si="6"/>
        <v>3785.133690219991</v>
      </c>
      <c r="W14" s="123">
        <f t="shared" si="7"/>
        <v>244512.57721484173</v>
      </c>
      <c r="X14" s="123">
        <f t="shared" si="8"/>
        <v>204845.61149667593</v>
      </c>
    </row>
    <row r="15" spans="1:24" x14ac:dyDescent="0.2">
      <c r="A15" s="1">
        <v>2033</v>
      </c>
      <c r="B15">
        <v>36.164821140000001</v>
      </c>
      <c r="C15">
        <v>28.22911015</v>
      </c>
      <c r="D15">
        <f t="shared" si="0"/>
        <v>7.9357109900000005</v>
      </c>
      <c r="F15" s="3">
        <f t="shared" si="1"/>
        <v>261878.46267000001</v>
      </c>
      <c r="G15">
        <f>SQRT('Sampling &amp; Combined Error'!$E$14)*$B$2*44/12</f>
        <v>17330.612745158352</v>
      </c>
      <c r="I15">
        <v>107.49299999999999</v>
      </c>
      <c r="J15">
        <v>187.74719999999999</v>
      </c>
      <c r="K15">
        <v>1554.49771021999</v>
      </c>
      <c r="L15">
        <v>1107.5355199999999</v>
      </c>
      <c r="M15">
        <v>6085.8626000000004</v>
      </c>
      <c r="N15">
        <v>3042.9313000000002</v>
      </c>
      <c r="O15">
        <f t="shared" si="2"/>
        <v>-3785.133690219991</v>
      </c>
      <c r="Q15" s="1">
        <v>2033</v>
      </c>
      <c r="R15">
        <f t="shared" si="3"/>
        <v>7935.6005102199906</v>
      </c>
      <c r="S15">
        <f t="shared" si="4"/>
        <v>4150.4668199999996</v>
      </c>
      <c r="T15">
        <v>8</v>
      </c>
      <c r="U15" s="123">
        <f t="shared" si="5"/>
        <v>43458.272132635786</v>
      </c>
      <c r="V15">
        <f t="shared" si="6"/>
        <v>3785.133690219991</v>
      </c>
      <c r="W15" s="123">
        <f t="shared" si="7"/>
        <v>244547.84992484166</v>
      </c>
      <c r="X15" s="123">
        <f t="shared" si="8"/>
        <v>204874.71148242586</v>
      </c>
    </row>
    <row r="16" spans="1:24" x14ac:dyDescent="0.2">
      <c r="A16" s="1">
        <v>2034</v>
      </c>
      <c r="B16">
        <v>36.164821959999998</v>
      </c>
      <c r="C16">
        <v>28.228342510000001</v>
      </c>
      <c r="D16">
        <f t="shared" si="0"/>
        <v>7.9364794499999967</v>
      </c>
      <c r="F16" s="3">
        <f t="shared" si="1"/>
        <v>261903.82184999992</v>
      </c>
      <c r="G16">
        <f>SQRT('Sampling &amp; Combined Error'!$E$14)*$B$2*44/12</f>
        <v>17330.612745158352</v>
      </c>
      <c r="I16">
        <v>107.49299999999999</v>
      </c>
      <c r="J16">
        <v>187.74719999999999</v>
      </c>
      <c r="K16">
        <v>1554.49771021999</v>
      </c>
      <c r="L16">
        <v>1107.5355199999999</v>
      </c>
      <c r="M16">
        <v>6085.8626000000004</v>
      </c>
      <c r="N16">
        <v>3042.9313000000002</v>
      </c>
      <c r="O16">
        <f t="shared" si="2"/>
        <v>-3785.133690219991</v>
      </c>
      <c r="Q16" s="1">
        <v>2034</v>
      </c>
      <c r="R16">
        <f t="shared" si="3"/>
        <v>7935.6005102199906</v>
      </c>
      <c r="S16">
        <f t="shared" si="4"/>
        <v>4150.4668199999996</v>
      </c>
      <c r="T16">
        <v>9</v>
      </c>
      <c r="U16" s="123">
        <f t="shared" si="5"/>
        <v>43462.709989135772</v>
      </c>
      <c r="V16">
        <f t="shared" si="6"/>
        <v>3785.133690219991</v>
      </c>
      <c r="W16" s="123">
        <f t="shared" si="7"/>
        <v>244573.20910484158</v>
      </c>
      <c r="X16" s="123">
        <f t="shared" si="8"/>
        <v>204895.63280592579</v>
      </c>
    </row>
    <row r="17" spans="1:24" x14ac:dyDescent="0.2">
      <c r="A17" s="1">
        <v>2035</v>
      </c>
      <c r="B17">
        <v>36.164822770000001</v>
      </c>
      <c r="C17">
        <v>28.227789219999998</v>
      </c>
      <c r="D17">
        <f t="shared" si="0"/>
        <v>7.9370335500000024</v>
      </c>
      <c r="F17" s="3">
        <f t="shared" si="1"/>
        <v>261922.10715000008</v>
      </c>
      <c r="G17">
        <f>SQRT('Sampling &amp; Combined Error'!$E$14)*$B$2*44/12</f>
        <v>17330.612745158352</v>
      </c>
      <c r="I17">
        <v>107.49299999999999</v>
      </c>
      <c r="J17">
        <v>187.74719999999999</v>
      </c>
      <c r="K17">
        <v>1554.49771021999</v>
      </c>
      <c r="L17">
        <v>1107.5355199999999</v>
      </c>
      <c r="M17">
        <v>6085.8626000000004</v>
      </c>
      <c r="N17">
        <v>3042.9313000000002</v>
      </c>
      <c r="O17">
        <f t="shared" si="2"/>
        <v>-3785.133690219991</v>
      </c>
      <c r="Q17" s="1">
        <v>2035</v>
      </c>
      <c r="R17">
        <f t="shared" si="3"/>
        <v>7935.6005102199906</v>
      </c>
      <c r="S17">
        <f>SUM(L17,N17)</f>
        <v>4150.4668199999996</v>
      </c>
      <c r="T17">
        <v>10</v>
      </c>
      <c r="U17" s="123">
        <f>(W17+V17)*0.175</f>
        <v>43465.909916635799</v>
      </c>
      <c r="V17">
        <f t="shared" si="6"/>
        <v>3785.133690219991</v>
      </c>
      <c r="W17" s="123">
        <f t="shared" si="7"/>
        <v>244591.49440484174</v>
      </c>
      <c r="X17" s="123">
        <f t="shared" si="8"/>
        <v>204910.71817842592</v>
      </c>
    </row>
    <row r="18" spans="1:24" x14ac:dyDescent="0.2">
      <c r="A18">
        <v>2036</v>
      </c>
      <c r="B18">
        <v>36.164823570000003</v>
      </c>
      <c r="C18">
        <v>28.227389330000001</v>
      </c>
      <c r="D18">
        <f t="shared" si="0"/>
        <v>7.9374342400000018</v>
      </c>
      <c r="F18" s="3">
        <f t="shared" si="1"/>
        <v>261935.32992000008</v>
      </c>
      <c r="G18">
        <f>SQRT('Sampling &amp; Combined Error'!$E$14)*$B$2*44/12</f>
        <v>17330.612745158352</v>
      </c>
      <c r="I18">
        <v>107.49299999999999</v>
      </c>
      <c r="J18">
        <v>187.74719999999999</v>
      </c>
      <c r="K18">
        <v>1554.49771021999</v>
      </c>
      <c r="L18">
        <v>1107.5355199999999</v>
      </c>
      <c r="M18">
        <v>6085.8626000000004</v>
      </c>
      <c r="N18">
        <v>3042.9313000000002</v>
      </c>
      <c r="O18">
        <f t="shared" si="2"/>
        <v>-3785.133690219991</v>
      </c>
      <c r="Q18" s="1">
        <v>2036</v>
      </c>
      <c r="R18">
        <f t="shared" si="3"/>
        <v>7935.6005102199906</v>
      </c>
      <c r="S18">
        <f t="shared" si="4"/>
        <v>4150.4668199999996</v>
      </c>
      <c r="T18">
        <v>11</v>
      </c>
      <c r="U18" s="123">
        <f t="shared" si="5"/>
        <v>43468.223901385798</v>
      </c>
      <c r="V18">
        <f t="shared" si="6"/>
        <v>3785.133690219991</v>
      </c>
      <c r="W18" s="123">
        <f t="shared" si="7"/>
        <v>244604.71717484173</v>
      </c>
      <c r="X18" s="123">
        <f t="shared" si="8"/>
        <v>204921.62696367592</v>
      </c>
    </row>
    <row r="19" spans="1:24" x14ac:dyDescent="0.2">
      <c r="A19">
        <v>2037</v>
      </c>
      <c r="B19">
        <v>36.164824350000004</v>
      </c>
      <c r="C19">
        <v>28.227099419999998</v>
      </c>
      <c r="D19">
        <f t="shared" ref="D19:D47" si="9">(B19 -C19)</f>
        <v>7.9377249300000052</v>
      </c>
      <c r="F19" s="3">
        <f t="shared" ref="F19:F47" si="10">D19*$B$2*44/12</f>
        <v>261944.92269000015</v>
      </c>
      <c r="G19">
        <f>SQRT('Sampling &amp; Combined Error'!$E$14)*$B$2*44/12</f>
        <v>17330.612745158352</v>
      </c>
      <c r="I19">
        <v>107.49299999999999</v>
      </c>
      <c r="J19">
        <v>187.74719999999999</v>
      </c>
      <c r="K19">
        <v>1554.49771021999</v>
      </c>
      <c r="L19">
        <v>1107.5355199999999</v>
      </c>
      <c r="M19">
        <v>6085.8626000000004</v>
      </c>
      <c r="N19">
        <v>3042.9313000000002</v>
      </c>
      <c r="O19">
        <f t="shared" ref="O19:O47" si="11">(N19+L19)-(I19+J19+K19+M19)</f>
        <v>-3785.133690219991</v>
      </c>
      <c r="Q19" s="1">
        <v>2037</v>
      </c>
      <c r="R19">
        <f t="shared" si="3"/>
        <v>7935.6005102199906</v>
      </c>
      <c r="S19">
        <f t="shared" si="4"/>
        <v>4150.4668199999996</v>
      </c>
      <c r="T19">
        <v>12</v>
      </c>
      <c r="U19" s="123">
        <f t="shared" si="5"/>
        <v>43469.902636135812</v>
      </c>
      <c r="V19">
        <f t="shared" si="6"/>
        <v>3785.133690219991</v>
      </c>
      <c r="W19" s="123">
        <f t="shared" si="7"/>
        <v>244614.30994484181</v>
      </c>
      <c r="X19" s="123">
        <f t="shared" si="8"/>
        <v>204929.54099892598</v>
      </c>
    </row>
    <row r="20" spans="1:24" x14ac:dyDescent="0.2">
      <c r="A20">
        <v>2038</v>
      </c>
      <c r="B20">
        <v>36.164825110000002</v>
      </c>
      <c r="C20">
        <v>28.226888509999998</v>
      </c>
      <c r="D20">
        <f t="shared" si="9"/>
        <v>7.937936600000004</v>
      </c>
      <c r="F20" s="3">
        <f t="shared" si="10"/>
        <v>261951.90780000013</v>
      </c>
      <c r="G20">
        <f>SQRT('Sampling &amp; Combined Error'!$E$14)*$B$2*44/12</f>
        <v>17330.612745158352</v>
      </c>
      <c r="I20">
        <v>107.49299999999999</v>
      </c>
      <c r="J20">
        <v>187.74719999999999</v>
      </c>
      <c r="K20">
        <v>1554.49771021999</v>
      </c>
      <c r="L20">
        <v>1107.5355199999999</v>
      </c>
      <c r="M20">
        <v>6085.8626000000004</v>
      </c>
      <c r="N20">
        <v>3042.9313000000002</v>
      </c>
      <c r="O20">
        <f t="shared" si="11"/>
        <v>-3785.133690219991</v>
      </c>
      <c r="Q20" s="1">
        <v>2038</v>
      </c>
      <c r="R20">
        <f t="shared" si="3"/>
        <v>7935.6005102199906</v>
      </c>
      <c r="S20">
        <f t="shared" si="4"/>
        <v>4150.4668199999996</v>
      </c>
      <c r="T20">
        <v>13</v>
      </c>
      <c r="U20" s="123">
        <f t="shared" si="5"/>
        <v>43471.125030385811</v>
      </c>
      <c r="V20">
        <f t="shared" si="6"/>
        <v>3785.133690219991</v>
      </c>
      <c r="W20" s="123">
        <f t="shared" si="7"/>
        <v>244621.29505484179</v>
      </c>
      <c r="X20" s="123">
        <f t="shared" si="8"/>
        <v>204935.30371467595</v>
      </c>
    </row>
    <row r="21" spans="1:24" x14ac:dyDescent="0.2">
      <c r="A21">
        <v>2039</v>
      </c>
      <c r="B21">
        <v>36.164825860000001</v>
      </c>
      <c r="C21">
        <v>28.226734400000002</v>
      </c>
      <c r="D21">
        <f t="shared" si="9"/>
        <v>7.938091459999999</v>
      </c>
      <c r="F21" s="3">
        <f t="shared" si="10"/>
        <v>261957.01817999998</v>
      </c>
      <c r="G21">
        <f>SQRT('Sampling &amp; Combined Error'!$E$14)*$B$2*44/12</f>
        <v>17330.612745158352</v>
      </c>
      <c r="I21">
        <v>107.49299999999999</v>
      </c>
      <c r="J21">
        <v>187.74719999999999</v>
      </c>
      <c r="K21">
        <v>1554.49771021999</v>
      </c>
      <c r="L21">
        <v>1107.5355199999999</v>
      </c>
      <c r="M21">
        <v>6085.8626000000004</v>
      </c>
      <c r="N21">
        <v>3042.9313000000002</v>
      </c>
      <c r="O21">
        <f t="shared" si="11"/>
        <v>-3785.133690219991</v>
      </c>
      <c r="Q21" s="1">
        <v>2039</v>
      </c>
      <c r="R21">
        <f t="shared" si="3"/>
        <v>7935.6005102199906</v>
      </c>
      <c r="S21">
        <f t="shared" si="4"/>
        <v>4150.4668199999996</v>
      </c>
      <c r="T21">
        <v>14</v>
      </c>
      <c r="U21" s="123">
        <f t="shared" si="5"/>
        <v>43472.019346885783</v>
      </c>
      <c r="V21">
        <f t="shared" si="6"/>
        <v>3785.133690219991</v>
      </c>
      <c r="W21" s="123">
        <f t="shared" si="7"/>
        <v>244626.40543484164</v>
      </c>
      <c r="X21" s="123">
        <f t="shared" si="8"/>
        <v>204939.51977817583</v>
      </c>
    </row>
    <row r="22" spans="1:24" x14ac:dyDescent="0.2">
      <c r="A22">
        <v>2040</v>
      </c>
      <c r="B22">
        <v>36.164826599999998</v>
      </c>
      <c r="C22">
        <v>28.226621170000001</v>
      </c>
      <c r="D22">
        <f t="shared" si="9"/>
        <v>7.9382054299999965</v>
      </c>
      <c r="F22" s="3">
        <f t="shared" si="10"/>
        <v>261960.77918999991</v>
      </c>
      <c r="G22">
        <f>SQRT('Sampling &amp; Combined Error'!$E$14)*$B$2*44/12</f>
        <v>17330.612745158352</v>
      </c>
      <c r="I22">
        <v>107.49299999999999</v>
      </c>
      <c r="J22">
        <v>187.74719999999999</v>
      </c>
      <c r="K22">
        <v>1554.49771021999</v>
      </c>
      <c r="L22">
        <v>1107.5355199999999</v>
      </c>
      <c r="M22">
        <v>6085.8626000000004</v>
      </c>
      <c r="N22">
        <v>3042.9313000000002</v>
      </c>
      <c r="O22">
        <f t="shared" si="11"/>
        <v>-3785.133690219991</v>
      </c>
      <c r="Q22" s="1">
        <v>2040</v>
      </c>
      <c r="R22">
        <f t="shared" si="3"/>
        <v>7935.6005102199906</v>
      </c>
      <c r="S22">
        <f t="shared" si="4"/>
        <v>4150.4668199999996</v>
      </c>
      <c r="T22">
        <v>15</v>
      </c>
      <c r="U22" s="123">
        <f t="shared" si="5"/>
        <v>43472.677523635772</v>
      </c>
      <c r="V22">
        <f t="shared" si="6"/>
        <v>3785.133690219991</v>
      </c>
      <c r="W22" s="123">
        <f t="shared" si="7"/>
        <v>244630.16644484157</v>
      </c>
      <c r="X22" s="123">
        <f t="shared" si="8"/>
        <v>204942.62261142579</v>
      </c>
    </row>
    <row r="23" spans="1:24" x14ac:dyDescent="0.2">
      <c r="A23">
        <v>2041</v>
      </c>
      <c r="B23">
        <v>36.164827320000001</v>
      </c>
      <c r="C23">
        <v>28.226537409999999</v>
      </c>
      <c r="D23">
        <f t="shared" si="9"/>
        <v>7.9382899100000017</v>
      </c>
      <c r="F23" s="3">
        <f t="shared" si="10"/>
        <v>261963.56703000006</v>
      </c>
      <c r="G23">
        <f>SQRT('Sampling &amp; Combined Error'!$E$14)*$B$2*44/12</f>
        <v>17330.612745158352</v>
      </c>
      <c r="I23">
        <v>107.49299999999999</v>
      </c>
      <c r="J23">
        <v>187.74719999999999</v>
      </c>
      <c r="K23">
        <v>1554.49771021999</v>
      </c>
      <c r="L23">
        <v>1107.5355199999999</v>
      </c>
      <c r="M23">
        <v>6085.8626000000004</v>
      </c>
      <c r="N23">
        <v>3042.9313000000002</v>
      </c>
      <c r="O23">
        <f t="shared" si="11"/>
        <v>-3785.133690219991</v>
      </c>
      <c r="Q23" s="1">
        <v>2041</v>
      </c>
      <c r="R23">
        <f t="shared" si="3"/>
        <v>7935.6005102199906</v>
      </c>
      <c r="S23">
        <f t="shared" si="4"/>
        <v>4150.4668199999996</v>
      </c>
      <c r="T23">
        <v>16</v>
      </c>
      <c r="U23" s="123">
        <f t="shared" si="5"/>
        <v>43473.165395635799</v>
      </c>
      <c r="V23">
        <f t="shared" si="6"/>
        <v>3785.133690219991</v>
      </c>
      <c r="W23" s="123">
        <f t="shared" si="7"/>
        <v>244632.95428484172</v>
      </c>
      <c r="X23" s="123">
        <f t="shared" si="8"/>
        <v>204944.92257942591</v>
      </c>
    </row>
    <row r="24" spans="1:24" x14ac:dyDescent="0.2">
      <c r="A24">
        <v>2042</v>
      </c>
      <c r="B24">
        <v>36.164828030000002</v>
      </c>
      <c r="C24">
        <v>28.226474889999999</v>
      </c>
      <c r="D24">
        <f t="shared" si="9"/>
        <v>7.9383531400000038</v>
      </c>
      <c r="F24" s="3">
        <f t="shared" si="10"/>
        <v>261965.65362000011</v>
      </c>
      <c r="G24">
        <f>SQRT('Sampling &amp; Combined Error'!$E$14)*$B$2*44/12</f>
        <v>17330.612745158352</v>
      </c>
      <c r="I24">
        <v>107.49299999999999</v>
      </c>
      <c r="J24">
        <v>187.74719999999999</v>
      </c>
      <c r="K24">
        <v>1554.49771021999</v>
      </c>
      <c r="L24">
        <v>1107.5355199999999</v>
      </c>
      <c r="M24">
        <v>6085.8626000000004</v>
      </c>
      <c r="N24">
        <v>3042.9313000000002</v>
      </c>
      <c r="O24">
        <f t="shared" si="11"/>
        <v>-3785.133690219991</v>
      </c>
      <c r="Q24" s="1">
        <v>2042</v>
      </c>
      <c r="R24">
        <f t="shared" si="3"/>
        <v>7935.6005102199906</v>
      </c>
      <c r="S24">
        <f t="shared" si="4"/>
        <v>4150.4668199999996</v>
      </c>
      <c r="T24">
        <v>17</v>
      </c>
      <c r="U24" s="123">
        <f t="shared" si="5"/>
        <v>43473.530548885807</v>
      </c>
      <c r="V24">
        <f t="shared" si="6"/>
        <v>3785.133690219991</v>
      </c>
      <c r="W24" s="123">
        <f t="shared" si="7"/>
        <v>244635.04087484177</v>
      </c>
      <c r="X24" s="123">
        <f t="shared" si="8"/>
        <v>204946.64401617594</v>
      </c>
    </row>
    <row r="25" spans="1:24" x14ac:dyDescent="0.2">
      <c r="A25">
        <v>2043</v>
      </c>
      <c r="B25">
        <v>36.164828730000004</v>
      </c>
      <c r="C25">
        <v>28.226427709999999</v>
      </c>
      <c r="D25">
        <f t="shared" si="9"/>
        <v>7.9384010200000041</v>
      </c>
      <c r="F25" s="3">
        <f t="shared" si="10"/>
        <v>261967.23366000014</v>
      </c>
      <c r="G25">
        <f>SQRT('Sampling &amp; Combined Error'!$E$14)*$B$2*44/12</f>
        <v>17330.612745158352</v>
      </c>
      <c r="I25">
        <v>107.49299999999999</v>
      </c>
      <c r="J25">
        <v>187.74719999999999</v>
      </c>
      <c r="K25">
        <v>1554.49771021999</v>
      </c>
      <c r="L25">
        <v>1107.5355199999999</v>
      </c>
      <c r="M25">
        <v>6085.8626000000004</v>
      </c>
      <c r="N25">
        <v>3042.9313000000002</v>
      </c>
      <c r="O25">
        <f t="shared" si="11"/>
        <v>-3785.133690219991</v>
      </c>
      <c r="Q25" s="1">
        <v>2043</v>
      </c>
      <c r="R25">
        <f t="shared" si="3"/>
        <v>7935.6005102199906</v>
      </c>
      <c r="S25">
        <f t="shared" si="4"/>
        <v>4150.4668199999996</v>
      </c>
      <c r="T25">
        <v>18</v>
      </c>
      <c r="U25" s="123">
        <f t="shared" si="5"/>
        <v>43473.807055885809</v>
      </c>
      <c r="V25">
        <f t="shared" si="6"/>
        <v>3785.133690219991</v>
      </c>
      <c r="W25" s="123">
        <f t="shared" si="7"/>
        <v>244636.6209148418</v>
      </c>
      <c r="X25" s="123">
        <f t="shared" si="8"/>
        <v>204947.94754917597</v>
      </c>
    </row>
    <row r="26" spans="1:24" x14ac:dyDescent="0.2">
      <c r="A26">
        <v>2044</v>
      </c>
      <c r="B26">
        <v>36.164829410000003</v>
      </c>
      <c r="C26">
        <v>28.226391620000001</v>
      </c>
      <c r="D26">
        <f t="shared" si="9"/>
        <v>7.9384377900000018</v>
      </c>
      <c r="F26" s="3">
        <f t="shared" si="10"/>
        <v>261968.44707000002</v>
      </c>
      <c r="G26">
        <f>SQRT('Sampling &amp; Combined Error'!$E$14)*$B$2*44/12</f>
        <v>17330.612745158352</v>
      </c>
      <c r="I26">
        <v>107.49299999999999</v>
      </c>
      <c r="J26">
        <v>187.74719999999999</v>
      </c>
      <c r="K26">
        <v>1554.49771021999</v>
      </c>
      <c r="L26">
        <v>1107.5355199999999</v>
      </c>
      <c r="M26">
        <v>6085.8626000000004</v>
      </c>
      <c r="N26">
        <v>3042.9313000000002</v>
      </c>
      <c r="O26">
        <f t="shared" si="11"/>
        <v>-3785.133690219991</v>
      </c>
      <c r="Q26" s="1">
        <v>2044</v>
      </c>
      <c r="R26">
        <f t="shared" si="3"/>
        <v>7935.6005102199906</v>
      </c>
      <c r="S26">
        <f t="shared" si="4"/>
        <v>4150.4668199999996</v>
      </c>
      <c r="T26">
        <v>19</v>
      </c>
      <c r="U26" s="123">
        <f t="shared" si="5"/>
        <v>43474.019402635786</v>
      </c>
      <c r="V26">
        <f t="shared" si="6"/>
        <v>3785.133690219991</v>
      </c>
      <c r="W26" s="123">
        <f t="shared" si="7"/>
        <v>244637.83432484168</v>
      </c>
      <c r="X26" s="123">
        <f t="shared" si="8"/>
        <v>204948.94861242588</v>
      </c>
    </row>
    <row r="27" spans="1:24" x14ac:dyDescent="0.2">
      <c r="A27">
        <v>2045</v>
      </c>
      <c r="B27">
        <v>36.164830080000002</v>
      </c>
      <c r="C27">
        <v>28.226363549999999</v>
      </c>
      <c r="D27">
        <f t="shared" si="9"/>
        <v>7.938466530000003</v>
      </c>
      <c r="F27" s="3">
        <f t="shared" si="10"/>
        <v>261969.39549000011</v>
      </c>
      <c r="G27">
        <f>SQRT('Sampling &amp; Combined Error'!$E$14)*$B$2*44/12</f>
        <v>17330.612745158352</v>
      </c>
      <c r="I27">
        <v>107.49299999999999</v>
      </c>
      <c r="J27">
        <v>187.74719999999999</v>
      </c>
      <c r="K27">
        <v>1554.49771021999</v>
      </c>
      <c r="L27">
        <v>1107.5355199999999</v>
      </c>
      <c r="M27">
        <v>6085.8626000000004</v>
      </c>
      <c r="N27">
        <v>3042.9313000000002</v>
      </c>
      <c r="O27">
        <f t="shared" si="11"/>
        <v>-3785.133690219991</v>
      </c>
      <c r="Q27" s="1">
        <v>2045</v>
      </c>
      <c r="R27">
        <f t="shared" si="3"/>
        <v>7935.6005102199906</v>
      </c>
      <c r="S27">
        <f t="shared" si="4"/>
        <v>4150.4668199999996</v>
      </c>
      <c r="T27">
        <v>20</v>
      </c>
      <c r="U27" s="123">
        <f t="shared" si="5"/>
        <v>43474.185376135807</v>
      </c>
      <c r="V27">
        <f t="shared" si="6"/>
        <v>3785.133690219991</v>
      </c>
      <c r="W27" s="123">
        <f t="shared" si="7"/>
        <v>244638.78274484177</v>
      </c>
      <c r="X27" s="123">
        <f t="shared" si="8"/>
        <v>204949.73105892594</v>
      </c>
    </row>
    <row r="28" spans="1:24" x14ac:dyDescent="0.2">
      <c r="A28">
        <v>2046</v>
      </c>
      <c r="B28">
        <v>36.164830739999999</v>
      </c>
      <c r="C28">
        <v>28.226341300000001</v>
      </c>
      <c r="D28">
        <f t="shared" si="9"/>
        <v>7.9384894399999979</v>
      </c>
      <c r="F28" s="3">
        <f t="shared" si="10"/>
        <v>261970.15151999996</v>
      </c>
      <c r="G28">
        <f>SQRT('Sampling &amp; Combined Error'!$E$14)*$B$2*44/12</f>
        <v>17330.612745158352</v>
      </c>
      <c r="I28">
        <v>107.49299999999999</v>
      </c>
      <c r="J28">
        <v>187.74719999999999</v>
      </c>
      <c r="K28">
        <v>1554.49771021999</v>
      </c>
      <c r="L28">
        <v>1107.5355199999999</v>
      </c>
      <c r="M28">
        <v>6085.8626000000004</v>
      </c>
      <c r="N28">
        <v>3042.9313000000002</v>
      </c>
      <c r="O28">
        <f t="shared" si="11"/>
        <v>-3785.133690219991</v>
      </c>
      <c r="Q28" s="1">
        <v>2046</v>
      </c>
      <c r="R28">
        <f t="shared" si="3"/>
        <v>7935.6005102199906</v>
      </c>
      <c r="S28">
        <f t="shared" si="4"/>
        <v>4150.4668199999996</v>
      </c>
      <c r="T28">
        <v>21</v>
      </c>
      <c r="U28" s="123">
        <f t="shared" si="5"/>
        <v>43474.317681385779</v>
      </c>
      <c r="V28">
        <f t="shared" si="6"/>
        <v>3785.133690219991</v>
      </c>
      <c r="W28" s="123">
        <f t="shared" si="7"/>
        <v>244639.53877484161</v>
      </c>
      <c r="X28" s="123">
        <f t="shared" si="8"/>
        <v>204950.35478367581</v>
      </c>
    </row>
    <row r="29" spans="1:24" x14ac:dyDescent="0.2">
      <c r="A29">
        <v>2047</v>
      </c>
      <c r="B29">
        <v>36.164831380000003</v>
      </c>
      <c r="C29">
        <v>28.226323279999999</v>
      </c>
      <c r="D29">
        <f t="shared" si="9"/>
        <v>7.9385081000000035</v>
      </c>
      <c r="F29" s="3">
        <f t="shared" si="10"/>
        <v>261970.76730000009</v>
      </c>
      <c r="G29">
        <f>SQRT('Sampling &amp; Combined Error'!$E$14)*$B$2*44/12</f>
        <v>17330.612745158352</v>
      </c>
      <c r="I29">
        <v>107.49299999999999</v>
      </c>
      <c r="J29">
        <v>187.74719999999999</v>
      </c>
      <c r="K29">
        <v>1554.49771021999</v>
      </c>
      <c r="L29">
        <v>1107.5355199999999</v>
      </c>
      <c r="M29">
        <v>6085.8626000000004</v>
      </c>
      <c r="N29">
        <v>3042.9313000000002</v>
      </c>
      <c r="O29">
        <f t="shared" si="11"/>
        <v>-3785.133690219991</v>
      </c>
      <c r="Q29" s="1">
        <v>2047</v>
      </c>
      <c r="R29">
        <f t="shared" si="3"/>
        <v>7935.6005102199906</v>
      </c>
      <c r="S29">
        <f t="shared" si="4"/>
        <v>4150.4668199999996</v>
      </c>
      <c r="T29">
        <v>22</v>
      </c>
      <c r="U29" s="123">
        <f t="shared" si="5"/>
        <v>43474.425442885804</v>
      </c>
      <c r="V29">
        <f t="shared" si="6"/>
        <v>3785.133690219991</v>
      </c>
      <c r="W29" s="123">
        <f t="shared" si="7"/>
        <v>244640.15455484175</v>
      </c>
      <c r="X29" s="123">
        <f t="shared" si="8"/>
        <v>204950.86280217592</v>
      </c>
    </row>
    <row r="30" spans="1:24" x14ac:dyDescent="0.2">
      <c r="A30">
        <v>2048</v>
      </c>
      <c r="B30">
        <v>36.164832009999998</v>
      </c>
      <c r="C30">
        <v>28.22630835</v>
      </c>
      <c r="D30">
        <f t="shared" si="9"/>
        <v>7.9385236599999978</v>
      </c>
      <c r="F30" s="3">
        <f t="shared" si="10"/>
        <v>261971.28077999994</v>
      </c>
      <c r="G30">
        <f>SQRT('Sampling &amp; Combined Error'!$E$14)*$B$2*44/12</f>
        <v>17330.612745158352</v>
      </c>
      <c r="I30">
        <v>107.49299999999999</v>
      </c>
      <c r="J30">
        <v>187.74719999999999</v>
      </c>
      <c r="K30">
        <v>1554.49771021999</v>
      </c>
      <c r="L30">
        <v>1107.5355199999999</v>
      </c>
      <c r="M30">
        <v>6085.8626000000004</v>
      </c>
      <c r="N30">
        <v>3042.9313000000002</v>
      </c>
      <c r="O30">
        <f t="shared" si="11"/>
        <v>-3785.133690219991</v>
      </c>
      <c r="Q30" s="1">
        <v>2048</v>
      </c>
      <c r="R30">
        <f t="shared" si="3"/>
        <v>7935.6005102199906</v>
      </c>
      <c r="S30">
        <f t="shared" si="4"/>
        <v>4150.4668199999996</v>
      </c>
      <c r="T30">
        <v>23</v>
      </c>
      <c r="U30" s="123">
        <f t="shared" si="5"/>
        <v>43474.515301885775</v>
      </c>
      <c r="V30">
        <f t="shared" si="6"/>
        <v>3785.133690219991</v>
      </c>
      <c r="W30" s="123">
        <f t="shared" si="7"/>
        <v>244640.6680348416</v>
      </c>
      <c r="X30" s="123">
        <f t="shared" si="8"/>
        <v>204951.2864231758</v>
      </c>
    </row>
    <row r="31" spans="1:24" x14ac:dyDescent="0.2">
      <c r="A31">
        <v>2049</v>
      </c>
      <c r="B31">
        <v>36.164832629999999</v>
      </c>
      <c r="C31">
        <v>28.22629568</v>
      </c>
      <c r="D31">
        <f t="shared" si="9"/>
        <v>7.9385369499999996</v>
      </c>
      <c r="F31" s="3">
        <f t="shared" si="10"/>
        <v>261971.71935</v>
      </c>
      <c r="G31">
        <f>SQRT('Sampling &amp; Combined Error'!$E$14)*$B$2*44/12</f>
        <v>17330.612745158352</v>
      </c>
      <c r="I31">
        <v>107.49299999999999</v>
      </c>
      <c r="J31">
        <v>187.74719999999999</v>
      </c>
      <c r="K31">
        <v>1554.49771021999</v>
      </c>
      <c r="L31">
        <v>1107.5355199999999</v>
      </c>
      <c r="M31">
        <v>6085.8626000000004</v>
      </c>
      <c r="N31">
        <v>3042.9313000000002</v>
      </c>
      <c r="O31">
        <f t="shared" si="11"/>
        <v>-3785.133690219991</v>
      </c>
      <c r="Q31" s="1">
        <v>2049</v>
      </c>
      <c r="R31">
        <f t="shared" si="3"/>
        <v>7935.6005102199906</v>
      </c>
      <c r="S31">
        <f t="shared" si="4"/>
        <v>4150.4668199999996</v>
      </c>
      <c r="T31">
        <v>24</v>
      </c>
      <c r="U31" s="123">
        <f t="shared" si="5"/>
        <v>43474.592051635787</v>
      </c>
      <c r="V31">
        <f t="shared" si="6"/>
        <v>3785.133690219991</v>
      </c>
      <c r="W31" s="123">
        <f t="shared" si="7"/>
        <v>244641.10660484165</v>
      </c>
      <c r="X31" s="123">
        <f t="shared" si="8"/>
        <v>204951.64824342585</v>
      </c>
    </row>
    <row r="32" spans="1:24" x14ac:dyDescent="0.2">
      <c r="A32">
        <v>2050</v>
      </c>
      <c r="B32">
        <v>36.16483324</v>
      </c>
      <c r="C32">
        <v>28.226284669999998</v>
      </c>
      <c r="D32">
        <f t="shared" si="9"/>
        <v>7.9385485700000018</v>
      </c>
      <c r="F32" s="3">
        <f t="shared" si="10"/>
        <v>261972.10281000007</v>
      </c>
      <c r="G32">
        <f>SQRT('Sampling &amp; Combined Error'!$E$14)*$B$2*44/12</f>
        <v>17330.612745158352</v>
      </c>
      <c r="I32">
        <v>107.49299999999999</v>
      </c>
      <c r="J32">
        <v>187.74719999999999</v>
      </c>
      <c r="K32">
        <v>1554.49771021999</v>
      </c>
      <c r="L32">
        <v>1107.5355199999999</v>
      </c>
      <c r="M32">
        <v>6085.8626000000004</v>
      </c>
      <c r="N32">
        <v>3042.9313000000002</v>
      </c>
      <c r="O32">
        <f t="shared" si="11"/>
        <v>-3785.133690219991</v>
      </c>
      <c r="Q32" s="1">
        <v>2050</v>
      </c>
      <c r="R32">
        <f t="shared" si="3"/>
        <v>7935.6005102199906</v>
      </c>
      <c r="S32">
        <f t="shared" si="4"/>
        <v>4150.4668199999996</v>
      </c>
      <c r="T32">
        <v>25</v>
      </c>
      <c r="U32" s="123">
        <f t="shared" si="5"/>
        <v>43474.659157135793</v>
      </c>
      <c r="V32">
        <f t="shared" si="6"/>
        <v>3785.133690219991</v>
      </c>
      <c r="W32" s="123">
        <f t="shared" si="7"/>
        <v>244641.49006484172</v>
      </c>
      <c r="X32" s="123">
        <f t="shared" si="8"/>
        <v>204951.96459792592</v>
      </c>
    </row>
    <row r="33" spans="1:24" x14ac:dyDescent="0.2">
      <c r="A33">
        <v>2051</v>
      </c>
      <c r="B33">
        <v>36.16483384</v>
      </c>
      <c r="C33">
        <v>28.226274889999999</v>
      </c>
      <c r="D33">
        <f t="shared" si="9"/>
        <v>7.9385589500000009</v>
      </c>
      <c r="F33" s="3">
        <f t="shared" si="10"/>
        <v>261972.44535000005</v>
      </c>
      <c r="G33">
        <f>SQRT('Sampling &amp; Combined Error'!$E$14)*$B$2*44/12</f>
        <v>17330.612745158352</v>
      </c>
      <c r="I33">
        <v>107.49299999999999</v>
      </c>
      <c r="J33">
        <v>187.74719999999999</v>
      </c>
      <c r="K33">
        <v>1554.49771021999</v>
      </c>
      <c r="L33">
        <v>1107.5355199999999</v>
      </c>
      <c r="M33">
        <v>6085.8626000000004</v>
      </c>
      <c r="N33">
        <v>3042.9313000000002</v>
      </c>
      <c r="O33">
        <f t="shared" si="11"/>
        <v>-3785.133690219991</v>
      </c>
      <c r="Q33" s="1">
        <v>2051</v>
      </c>
      <c r="R33">
        <f t="shared" si="3"/>
        <v>7935.6005102199906</v>
      </c>
      <c r="S33">
        <f t="shared" si="4"/>
        <v>4150.4668199999996</v>
      </c>
      <c r="T33">
        <v>26</v>
      </c>
      <c r="U33" s="123">
        <f t="shared" si="5"/>
        <v>43474.71910163579</v>
      </c>
      <c r="V33">
        <f t="shared" si="6"/>
        <v>3785.133690219991</v>
      </c>
      <c r="W33" s="123">
        <f t="shared" si="7"/>
        <v>244641.83260484171</v>
      </c>
      <c r="X33" s="123">
        <f t="shared" si="8"/>
        <v>204952.24719342589</v>
      </c>
    </row>
    <row r="34" spans="1:24" x14ac:dyDescent="0.2">
      <c r="A34">
        <v>2052</v>
      </c>
      <c r="B34">
        <v>36.164834419999998</v>
      </c>
      <c r="C34">
        <v>28.226266039999999</v>
      </c>
      <c r="D34">
        <f t="shared" si="9"/>
        <v>7.9385683799999995</v>
      </c>
      <c r="F34" s="3">
        <f t="shared" si="10"/>
        <v>261972.75654</v>
      </c>
      <c r="G34">
        <f>SQRT('Sampling &amp; Combined Error'!$E$14)*$B$2*44/12</f>
        <v>17330.612745158352</v>
      </c>
      <c r="I34">
        <v>107.49299999999999</v>
      </c>
      <c r="J34">
        <v>187.74719999999999</v>
      </c>
      <c r="K34">
        <v>1554.49771021999</v>
      </c>
      <c r="L34">
        <v>1107.5355199999999</v>
      </c>
      <c r="M34">
        <v>6085.8626000000004</v>
      </c>
      <c r="N34">
        <v>3042.9313000000002</v>
      </c>
      <c r="O34">
        <f t="shared" si="11"/>
        <v>-3785.133690219991</v>
      </c>
      <c r="Q34" s="1">
        <v>2052</v>
      </c>
      <c r="R34">
        <f t="shared" si="3"/>
        <v>7935.6005102199906</v>
      </c>
      <c r="S34">
        <f t="shared" si="4"/>
        <v>4150.4668199999996</v>
      </c>
      <c r="T34">
        <v>27</v>
      </c>
      <c r="U34" s="123">
        <f t="shared" si="5"/>
        <v>43474.773559885783</v>
      </c>
      <c r="V34">
        <f t="shared" si="6"/>
        <v>3785.133690219991</v>
      </c>
      <c r="W34" s="123">
        <f t="shared" si="7"/>
        <v>244642.14379484166</v>
      </c>
      <c r="X34" s="123">
        <f t="shared" si="8"/>
        <v>204952.50392517587</v>
      </c>
    </row>
    <row r="35" spans="1:24" x14ac:dyDescent="0.2">
      <c r="A35">
        <v>2053</v>
      </c>
      <c r="B35">
        <v>36.164834999999997</v>
      </c>
      <c r="C35">
        <v>28.226257889999999</v>
      </c>
      <c r="D35">
        <f t="shared" si="9"/>
        <v>7.9385771099999971</v>
      </c>
      <c r="F35" s="3">
        <f t="shared" si="10"/>
        <v>261973.0446299999</v>
      </c>
      <c r="G35">
        <f>SQRT('Sampling &amp; Combined Error'!$E$14)*$B$2*44/12</f>
        <v>17330.612745158352</v>
      </c>
      <c r="I35">
        <v>107.49299999999999</v>
      </c>
      <c r="J35">
        <v>187.74719999999999</v>
      </c>
      <c r="K35">
        <v>1554.49771021999</v>
      </c>
      <c r="L35">
        <v>1107.5355199999999</v>
      </c>
      <c r="M35">
        <v>6085.8626000000004</v>
      </c>
      <c r="N35">
        <v>3042.9313000000002</v>
      </c>
      <c r="O35">
        <f t="shared" si="11"/>
        <v>-3785.133690219991</v>
      </c>
      <c r="Q35" s="1">
        <v>2053</v>
      </c>
      <c r="R35">
        <f t="shared" si="3"/>
        <v>7935.6005102199906</v>
      </c>
      <c r="S35">
        <f t="shared" si="4"/>
        <v>4150.4668199999996</v>
      </c>
      <c r="T35">
        <v>28</v>
      </c>
      <c r="U35" s="123">
        <f t="shared" si="5"/>
        <v>43474.823975635765</v>
      </c>
      <c r="V35">
        <f t="shared" si="6"/>
        <v>3785.133690219991</v>
      </c>
      <c r="W35" s="123">
        <f t="shared" si="7"/>
        <v>244642.43188484156</v>
      </c>
      <c r="X35" s="123">
        <f t="shared" si="8"/>
        <v>204952.74159942579</v>
      </c>
    </row>
    <row r="36" spans="1:24" x14ac:dyDescent="0.2">
      <c r="A36">
        <v>2054</v>
      </c>
      <c r="B36">
        <v>36.16483556</v>
      </c>
      <c r="C36">
        <v>28.226250279999999</v>
      </c>
      <c r="D36">
        <f t="shared" si="9"/>
        <v>7.9385852800000016</v>
      </c>
      <c r="F36" s="3">
        <f t="shared" si="10"/>
        <v>261973.31424000001</v>
      </c>
      <c r="G36">
        <f>SQRT('Sampling &amp; Combined Error'!$E$14)*$B$2*44/12</f>
        <v>17330.612745158352</v>
      </c>
      <c r="I36">
        <v>107.49299999999999</v>
      </c>
      <c r="J36">
        <v>187.74719999999999</v>
      </c>
      <c r="K36">
        <v>1554.49771021999</v>
      </c>
      <c r="L36">
        <v>1107.5355199999999</v>
      </c>
      <c r="M36">
        <v>6085.8626000000004</v>
      </c>
      <c r="N36">
        <v>3042.9313000000002</v>
      </c>
      <c r="O36">
        <f t="shared" si="11"/>
        <v>-3785.133690219991</v>
      </c>
      <c r="Q36" s="1">
        <v>2054</v>
      </c>
      <c r="R36">
        <f t="shared" si="3"/>
        <v>7935.6005102199906</v>
      </c>
      <c r="S36">
        <f t="shared" si="4"/>
        <v>4150.4668199999996</v>
      </c>
      <c r="T36">
        <v>29</v>
      </c>
      <c r="U36" s="123">
        <f t="shared" si="5"/>
        <v>43474.871157385787</v>
      </c>
      <c r="V36">
        <f t="shared" si="6"/>
        <v>3785.133690219991</v>
      </c>
      <c r="W36" s="123">
        <f t="shared" si="7"/>
        <v>244642.70149484166</v>
      </c>
      <c r="X36" s="123">
        <f t="shared" si="8"/>
        <v>204952.96402767586</v>
      </c>
    </row>
    <row r="37" spans="1:24" x14ac:dyDescent="0.2">
      <c r="A37">
        <v>2055</v>
      </c>
      <c r="B37">
        <v>36.164836119999997</v>
      </c>
      <c r="C37">
        <v>28.22624308</v>
      </c>
      <c r="D37">
        <f t="shared" si="9"/>
        <v>7.9385930399999971</v>
      </c>
      <c r="F37" s="3">
        <f t="shared" si="10"/>
        <v>261973.57031999991</v>
      </c>
      <c r="G37">
        <f>SQRT('Sampling &amp; Combined Error'!$E$14)*$B$2*44/12</f>
        <v>17330.612745158352</v>
      </c>
      <c r="I37">
        <v>107.49299999999999</v>
      </c>
      <c r="J37">
        <v>187.74719999999999</v>
      </c>
      <c r="K37">
        <v>1554.49771021999</v>
      </c>
      <c r="L37">
        <v>1107.5355199999999</v>
      </c>
      <c r="M37">
        <v>6085.8626000000004</v>
      </c>
      <c r="N37">
        <v>3042.9313000000002</v>
      </c>
      <c r="O37">
        <f t="shared" si="11"/>
        <v>-3785.133690219991</v>
      </c>
      <c r="Q37" s="1">
        <v>2055</v>
      </c>
      <c r="R37">
        <f t="shared" si="3"/>
        <v>7935.6005102199906</v>
      </c>
      <c r="S37">
        <f t="shared" si="4"/>
        <v>4150.4668199999996</v>
      </c>
      <c r="T37">
        <v>30</v>
      </c>
      <c r="U37" s="123">
        <f t="shared" si="5"/>
        <v>43474.915971385766</v>
      </c>
      <c r="V37">
        <f t="shared" si="6"/>
        <v>3785.133690219991</v>
      </c>
      <c r="W37" s="123">
        <f t="shared" si="7"/>
        <v>244642.95757484157</v>
      </c>
      <c r="X37" s="123">
        <f t="shared" si="8"/>
        <v>204953.1752936758</v>
      </c>
    </row>
    <row r="38" spans="1:24" x14ac:dyDescent="0.2">
      <c r="A38">
        <v>2056</v>
      </c>
      <c r="B38">
        <v>36.164836659999999</v>
      </c>
      <c r="C38">
        <v>28.226236230000001</v>
      </c>
      <c r="D38">
        <f t="shared" si="9"/>
        <v>7.9386004299999975</v>
      </c>
      <c r="F38" s="3">
        <f t="shared" si="10"/>
        <v>261973.81418999992</v>
      </c>
      <c r="G38">
        <f>SQRT('Sampling &amp; Combined Error'!$E$14)*$B$2*44/12</f>
        <v>17330.612745158352</v>
      </c>
      <c r="I38">
        <v>107.49299999999999</v>
      </c>
      <c r="J38">
        <v>187.74719999999999</v>
      </c>
      <c r="K38">
        <v>1554.49771021999</v>
      </c>
      <c r="L38">
        <v>1107.5355199999999</v>
      </c>
      <c r="M38">
        <v>6085.8626000000004</v>
      </c>
      <c r="N38">
        <v>3042.9313000000002</v>
      </c>
      <c r="O38">
        <f t="shared" si="11"/>
        <v>-3785.133690219991</v>
      </c>
      <c r="Q38" s="1">
        <v>2056</v>
      </c>
      <c r="R38">
        <f t="shared" si="3"/>
        <v>7935.6005102199906</v>
      </c>
      <c r="S38">
        <f t="shared" si="4"/>
        <v>4150.4668199999996</v>
      </c>
      <c r="T38">
        <v>31</v>
      </c>
      <c r="U38" s="123">
        <f t="shared" si="5"/>
        <v>43474.958648635773</v>
      </c>
      <c r="V38">
        <f t="shared" si="6"/>
        <v>3785.133690219991</v>
      </c>
      <c r="W38" s="123">
        <f t="shared" si="7"/>
        <v>244643.20144484157</v>
      </c>
      <c r="X38" s="123">
        <f t="shared" si="8"/>
        <v>204953.37648642578</v>
      </c>
    </row>
    <row r="39" spans="1:24" x14ac:dyDescent="0.2">
      <c r="A39">
        <v>2057</v>
      </c>
      <c r="B39">
        <v>36.16483719</v>
      </c>
      <c r="C39">
        <v>28.22622964</v>
      </c>
      <c r="D39">
        <f t="shared" si="9"/>
        <v>7.9386075500000004</v>
      </c>
      <c r="F39" s="3">
        <f t="shared" si="10"/>
        <v>261974.04915000001</v>
      </c>
      <c r="G39">
        <f>SQRT('Sampling &amp; Combined Error'!$E$14)*$B$2*44/12</f>
        <v>17330.612745158352</v>
      </c>
      <c r="I39">
        <v>107.49299999999999</v>
      </c>
      <c r="J39">
        <v>187.74719999999999</v>
      </c>
      <c r="K39">
        <v>1554.49771021999</v>
      </c>
      <c r="L39">
        <v>1107.5355199999999</v>
      </c>
      <c r="M39">
        <v>6085.8626000000004</v>
      </c>
      <c r="N39">
        <v>3042.9313000000002</v>
      </c>
      <c r="O39">
        <f t="shared" si="11"/>
        <v>-3785.133690219991</v>
      </c>
      <c r="Q39" s="1">
        <v>2057</v>
      </c>
      <c r="R39">
        <f t="shared" si="3"/>
        <v>7935.6005102199906</v>
      </c>
      <c r="S39">
        <f t="shared" si="4"/>
        <v>4150.4668199999996</v>
      </c>
      <c r="T39">
        <v>32</v>
      </c>
      <c r="U39" s="123">
        <f t="shared" si="5"/>
        <v>43474.999766635789</v>
      </c>
      <c r="V39">
        <f t="shared" si="6"/>
        <v>3785.133690219991</v>
      </c>
      <c r="W39" s="123">
        <f t="shared" si="7"/>
        <v>244643.43640484166</v>
      </c>
      <c r="X39" s="123">
        <f t="shared" si="8"/>
        <v>204953.57032842585</v>
      </c>
    </row>
    <row r="40" spans="1:24" x14ac:dyDescent="0.2">
      <c r="A40">
        <v>2058</v>
      </c>
      <c r="B40">
        <v>36.16483771</v>
      </c>
      <c r="C40">
        <v>28.22622329</v>
      </c>
      <c r="D40">
        <f t="shared" si="9"/>
        <v>7.9386144200000004</v>
      </c>
      <c r="F40" s="3">
        <f t="shared" si="10"/>
        <v>261974.27585999997</v>
      </c>
      <c r="G40">
        <f>SQRT('Sampling &amp; Combined Error'!$E$14)*$B$2*44/12</f>
        <v>17330.612745158352</v>
      </c>
      <c r="I40">
        <v>107.49299999999999</v>
      </c>
      <c r="J40">
        <v>187.74719999999999</v>
      </c>
      <c r="K40">
        <v>1554.49771021999</v>
      </c>
      <c r="L40">
        <v>1107.5355199999999</v>
      </c>
      <c r="M40">
        <v>6085.8626000000004</v>
      </c>
      <c r="N40">
        <v>3042.9313000000002</v>
      </c>
      <c r="O40">
        <f t="shared" si="11"/>
        <v>-3785.133690219991</v>
      </c>
      <c r="Q40" s="1">
        <v>2058</v>
      </c>
      <c r="R40">
        <f t="shared" si="3"/>
        <v>7935.6005102199906</v>
      </c>
      <c r="S40">
        <f t="shared" si="4"/>
        <v>4150.4668199999996</v>
      </c>
      <c r="T40">
        <v>33</v>
      </c>
      <c r="U40" s="123">
        <f t="shared" si="5"/>
        <v>43475.039440885776</v>
      </c>
      <c r="V40">
        <f t="shared" si="6"/>
        <v>3785.133690219991</v>
      </c>
      <c r="W40" s="123">
        <f t="shared" si="7"/>
        <v>244643.66311484162</v>
      </c>
      <c r="X40" s="123">
        <f t="shared" si="8"/>
        <v>204953.75736417584</v>
      </c>
    </row>
    <row r="41" spans="1:24" x14ac:dyDescent="0.2">
      <c r="A41">
        <v>2059</v>
      </c>
      <c r="B41">
        <v>36.164838230000001</v>
      </c>
      <c r="C41">
        <v>28.226217120000001</v>
      </c>
      <c r="D41">
        <f t="shared" si="9"/>
        <v>7.9386211099999997</v>
      </c>
      <c r="F41" s="3">
        <f t="shared" si="10"/>
        <v>261974.49662999998</v>
      </c>
      <c r="G41">
        <f>SQRT('Sampling &amp; Combined Error'!$E$14)*$B$2*44/12</f>
        <v>17330.612745158352</v>
      </c>
      <c r="I41">
        <v>107.49299999999999</v>
      </c>
      <c r="J41">
        <v>187.74719999999999</v>
      </c>
      <c r="K41">
        <v>1554.49771021999</v>
      </c>
      <c r="L41">
        <v>1107.5355199999999</v>
      </c>
      <c r="M41">
        <v>6085.8626000000004</v>
      </c>
      <c r="N41">
        <v>3042.9313000000002</v>
      </c>
      <c r="O41">
        <f t="shared" si="11"/>
        <v>-3785.133690219991</v>
      </c>
      <c r="Q41" s="1">
        <v>2059</v>
      </c>
      <c r="R41">
        <f t="shared" si="3"/>
        <v>7935.6005102199906</v>
      </c>
      <c r="S41">
        <f t="shared" si="4"/>
        <v>4150.4668199999996</v>
      </c>
      <c r="T41">
        <v>34</v>
      </c>
      <c r="U41" s="123">
        <f t="shared" si="5"/>
        <v>43475.078075635778</v>
      </c>
      <c r="V41">
        <f t="shared" si="6"/>
        <v>3785.133690219991</v>
      </c>
      <c r="W41" s="123">
        <f t="shared" si="7"/>
        <v>244643.88388484163</v>
      </c>
      <c r="X41" s="123">
        <f t="shared" si="8"/>
        <v>204953.93949942585</v>
      </c>
    </row>
    <row r="42" spans="1:24" x14ac:dyDescent="0.2">
      <c r="A42">
        <v>2060</v>
      </c>
      <c r="B42">
        <v>36.16483873</v>
      </c>
      <c r="C42">
        <v>28.226211129999999</v>
      </c>
      <c r="D42">
        <f t="shared" si="9"/>
        <v>7.9386276000000002</v>
      </c>
      <c r="F42" s="3">
        <f t="shared" si="10"/>
        <v>261974.7108</v>
      </c>
      <c r="G42">
        <f>SQRT('Sampling &amp; Combined Error'!$E$14)*$B$2*44/12</f>
        <v>17330.612745158352</v>
      </c>
      <c r="I42">
        <v>107.49299999999999</v>
      </c>
      <c r="J42">
        <v>187.74719999999999</v>
      </c>
      <c r="K42">
        <v>1554.49771021999</v>
      </c>
      <c r="L42">
        <v>1107.5355199999999</v>
      </c>
      <c r="M42">
        <v>6085.8626000000004</v>
      </c>
      <c r="N42">
        <v>3042.9313000000002</v>
      </c>
      <c r="O42">
        <f t="shared" si="11"/>
        <v>-3785.133690219991</v>
      </c>
      <c r="Q42" s="1">
        <v>2060</v>
      </c>
      <c r="R42">
        <f t="shared" si="3"/>
        <v>7935.6005102199906</v>
      </c>
      <c r="S42">
        <f t="shared" si="4"/>
        <v>4150.4668199999996</v>
      </c>
      <c r="T42">
        <v>35</v>
      </c>
      <c r="U42" s="123">
        <f t="shared" si="5"/>
        <v>43475.115555385782</v>
      </c>
      <c r="V42">
        <f t="shared" si="6"/>
        <v>3785.133690219991</v>
      </c>
      <c r="W42" s="123">
        <f t="shared" si="7"/>
        <v>244644.09805484166</v>
      </c>
      <c r="X42" s="123">
        <f t="shared" si="8"/>
        <v>204954.11618967587</v>
      </c>
    </row>
    <row r="43" spans="1:24" x14ac:dyDescent="0.2">
      <c r="A43">
        <v>2061</v>
      </c>
      <c r="B43">
        <v>36.164839219999998</v>
      </c>
      <c r="C43">
        <v>28.226205289999999</v>
      </c>
      <c r="D43">
        <f t="shared" si="9"/>
        <v>7.9386339299999982</v>
      </c>
      <c r="F43" s="3">
        <f t="shared" si="10"/>
        <v>261974.91968999992</v>
      </c>
      <c r="G43">
        <f>SQRT('Sampling &amp; Combined Error'!$E$14)*$B$2*44/12</f>
        <v>17330.612745158352</v>
      </c>
      <c r="I43">
        <v>107.49299999999999</v>
      </c>
      <c r="J43">
        <v>187.74719999999999</v>
      </c>
      <c r="K43">
        <v>1554.49771021999</v>
      </c>
      <c r="L43">
        <v>1107.5355199999999</v>
      </c>
      <c r="M43">
        <v>6085.8626000000004</v>
      </c>
      <c r="N43">
        <v>3042.9313000000002</v>
      </c>
      <c r="O43">
        <f t="shared" si="11"/>
        <v>-3785.133690219991</v>
      </c>
      <c r="Q43" s="1">
        <v>2061</v>
      </c>
      <c r="R43">
        <f t="shared" si="3"/>
        <v>7935.6005102199906</v>
      </c>
      <c r="S43">
        <f t="shared" si="4"/>
        <v>4150.4668199999996</v>
      </c>
      <c r="T43">
        <v>36</v>
      </c>
      <c r="U43" s="123">
        <f t="shared" si="5"/>
        <v>43475.152111135772</v>
      </c>
      <c r="V43">
        <f t="shared" si="6"/>
        <v>3785.133690219991</v>
      </c>
      <c r="W43" s="123">
        <f t="shared" si="7"/>
        <v>244644.30694484158</v>
      </c>
      <c r="X43" s="123">
        <f t="shared" si="8"/>
        <v>204954.28852392579</v>
      </c>
    </row>
    <row r="44" spans="1:24" x14ac:dyDescent="0.2">
      <c r="A44">
        <v>2062</v>
      </c>
      <c r="B44">
        <v>36.164839710000003</v>
      </c>
      <c r="C44">
        <v>28.22619959</v>
      </c>
      <c r="D44">
        <f t="shared" si="9"/>
        <v>7.9386401200000023</v>
      </c>
      <c r="F44" s="3">
        <f t="shared" si="10"/>
        <v>261975.12396000008</v>
      </c>
      <c r="G44">
        <f>SQRT('Sampling &amp; Combined Error'!$E$14)*$B$2*44/12</f>
        <v>17330.612745158352</v>
      </c>
      <c r="I44">
        <v>107.49299999999999</v>
      </c>
      <c r="J44">
        <v>187.74719999999999</v>
      </c>
      <c r="K44">
        <v>1554.49771021999</v>
      </c>
      <c r="L44">
        <v>1107.5355199999999</v>
      </c>
      <c r="M44">
        <v>6085.8626000000004</v>
      </c>
      <c r="N44">
        <v>3042.9313000000002</v>
      </c>
      <c r="O44">
        <f t="shared" si="11"/>
        <v>-3785.133690219991</v>
      </c>
      <c r="Q44" s="1">
        <v>2062</v>
      </c>
      <c r="R44">
        <f t="shared" si="3"/>
        <v>7935.6005102199906</v>
      </c>
      <c r="S44">
        <f t="shared" si="4"/>
        <v>4150.4668199999996</v>
      </c>
      <c r="T44">
        <v>37</v>
      </c>
      <c r="U44" s="123">
        <f t="shared" si="5"/>
        <v>43475.187858385798</v>
      </c>
      <c r="V44">
        <f t="shared" si="6"/>
        <v>3785.133690219991</v>
      </c>
      <c r="W44" s="123">
        <f t="shared" si="7"/>
        <v>244644.51121484174</v>
      </c>
      <c r="X44" s="123">
        <f t="shared" si="8"/>
        <v>204954.45704667593</v>
      </c>
    </row>
    <row r="45" spans="1:24" x14ac:dyDescent="0.2">
      <c r="A45">
        <v>2063</v>
      </c>
      <c r="B45">
        <v>36.164840179999999</v>
      </c>
      <c r="C45">
        <v>28.226194020000001</v>
      </c>
      <c r="D45">
        <f t="shared" si="9"/>
        <v>7.9386461599999976</v>
      </c>
      <c r="F45" s="3">
        <f t="shared" si="10"/>
        <v>261975.3232799999</v>
      </c>
      <c r="G45">
        <f>SQRT('Sampling &amp; Combined Error'!$E$14)*$B$2*44/12</f>
        <v>17330.612745158352</v>
      </c>
      <c r="I45">
        <v>107.49299999999999</v>
      </c>
      <c r="J45">
        <v>187.74719999999999</v>
      </c>
      <c r="K45">
        <v>1554.49771021999</v>
      </c>
      <c r="L45">
        <v>1107.5355199999999</v>
      </c>
      <c r="M45">
        <v>6085.8626000000004</v>
      </c>
      <c r="N45">
        <v>3042.9313000000002</v>
      </c>
      <c r="O45">
        <f t="shared" si="11"/>
        <v>-3785.133690219991</v>
      </c>
      <c r="Q45" s="1">
        <v>2063</v>
      </c>
      <c r="R45">
        <f t="shared" si="3"/>
        <v>7935.6005102199906</v>
      </c>
      <c r="S45">
        <f t="shared" si="4"/>
        <v>4150.4668199999996</v>
      </c>
      <c r="T45">
        <v>38</v>
      </c>
      <c r="U45" s="123">
        <f t="shared" si="5"/>
        <v>43475.222739385768</v>
      </c>
      <c r="V45">
        <f t="shared" si="6"/>
        <v>3785.133690219991</v>
      </c>
      <c r="W45" s="123">
        <f t="shared" si="7"/>
        <v>244644.71053484155</v>
      </c>
      <c r="X45" s="123">
        <f t="shared" si="8"/>
        <v>204954.62148567577</v>
      </c>
    </row>
    <row r="46" spans="1:24" x14ac:dyDescent="0.2">
      <c r="A46">
        <v>2064</v>
      </c>
      <c r="B46">
        <v>36.164840650000002</v>
      </c>
      <c r="C46">
        <v>28.226188570000001</v>
      </c>
      <c r="D46">
        <f t="shared" si="9"/>
        <v>7.9386520800000007</v>
      </c>
      <c r="F46" s="3">
        <f t="shared" si="10"/>
        <v>261975.51864000005</v>
      </c>
      <c r="G46">
        <f>SQRT('Sampling &amp; Combined Error'!$E$14)*$B$2*44/12</f>
        <v>17330.612745158352</v>
      </c>
      <c r="I46">
        <v>107.49299999999999</v>
      </c>
      <c r="J46">
        <v>187.74719999999999</v>
      </c>
      <c r="K46">
        <v>1554.49771021999</v>
      </c>
      <c r="L46">
        <v>1107.5355199999999</v>
      </c>
      <c r="M46">
        <v>6085.8626000000004</v>
      </c>
      <c r="N46">
        <v>3042.9313000000002</v>
      </c>
      <c r="O46">
        <f t="shared" si="11"/>
        <v>-3785.133690219991</v>
      </c>
      <c r="Q46" s="1">
        <v>2064</v>
      </c>
      <c r="R46">
        <f t="shared" si="3"/>
        <v>7935.6005102199906</v>
      </c>
      <c r="S46">
        <f t="shared" si="4"/>
        <v>4150.4668199999996</v>
      </c>
      <c r="T46">
        <v>39</v>
      </c>
      <c r="U46" s="123">
        <f t="shared" si="5"/>
        <v>43475.256927385795</v>
      </c>
      <c r="V46">
        <f t="shared" si="6"/>
        <v>3785.133690219991</v>
      </c>
      <c r="W46" s="123">
        <f t="shared" si="7"/>
        <v>244644.90589484171</v>
      </c>
      <c r="X46" s="123">
        <f t="shared" si="8"/>
        <v>204954.78265767591</v>
      </c>
    </row>
    <row r="47" spans="1:24" x14ac:dyDescent="0.2">
      <c r="A47">
        <v>2065</v>
      </c>
      <c r="B47">
        <v>36.164841099999997</v>
      </c>
      <c r="C47">
        <v>28.22618323</v>
      </c>
      <c r="D47">
        <f t="shared" si="9"/>
        <v>7.9386578699999966</v>
      </c>
      <c r="F47" s="3">
        <f t="shared" si="10"/>
        <v>261975.70970999988</v>
      </c>
      <c r="G47">
        <f>SQRT('Sampling &amp; Combined Error'!$E$14)*$B$2*44/12</f>
        <v>17330.612745158352</v>
      </c>
      <c r="I47">
        <v>107.49299999999999</v>
      </c>
      <c r="J47">
        <v>187.74719999999999</v>
      </c>
      <c r="K47">
        <v>1554.49771021999</v>
      </c>
      <c r="L47">
        <v>1107.5355199999999</v>
      </c>
      <c r="M47">
        <v>6085.8626000000004</v>
      </c>
      <c r="N47">
        <v>3042.9313000000002</v>
      </c>
      <c r="O47">
        <f t="shared" si="11"/>
        <v>-3785.133690219991</v>
      </c>
      <c r="Q47" s="1">
        <v>2065</v>
      </c>
      <c r="R47">
        <f t="shared" si="3"/>
        <v>7935.6005102199906</v>
      </c>
      <c r="S47">
        <f t="shared" si="4"/>
        <v>4150.4668199999996</v>
      </c>
      <c r="T47">
        <v>40</v>
      </c>
      <c r="U47" s="123">
        <f t="shared" si="5"/>
        <v>43475.290364635766</v>
      </c>
      <c r="V47">
        <f t="shared" si="6"/>
        <v>3785.133690219991</v>
      </c>
      <c r="W47" s="123">
        <f t="shared" si="7"/>
        <v>244645.09696484153</v>
      </c>
      <c r="X47" s="123">
        <f t="shared" si="8"/>
        <v>204954.94029042576</v>
      </c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ED3B-B196-F14D-93F7-E323B63B4087}">
  <dimension ref="A1:AN250"/>
  <sheetViews>
    <sheetView topLeftCell="A58" zoomScaleNormal="100" workbookViewId="0">
      <selection activeCell="G66" sqref="G66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0EE1-DCC9-F743-9397-6C364A7DC125}">
  <dimension ref="A1:AR259"/>
  <sheetViews>
    <sheetView topLeftCell="A41" zoomScale="136" zoomScaleNormal="136" workbookViewId="0">
      <selection activeCell="D63" sqref="D63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74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9" t="s">
        <v>218</v>
      </c>
      <c r="C86" s="129"/>
      <c r="D86" s="129"/>
      <c r="E86" s="129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AACC-3202-4440-8CEE-641AA3FE77AE}">
  <dimension ref="A2:H14"/>
  <sheetViews>
    <sheetView zoomScale="117" zoomScaleNormal="117" workbookViewId="0">
      <selection activeCell="B10" sqref="B10"/>
    </sheetView>
  </sheetViews>
  <sheetFormatPr baseColWidth="10" defaultRowHeight="16" x14ac:dyDescent="0.2"/>
  <cols>
    <col min="1" max="1" width="18.6640625" customWidth="1"/>
    <col min="2" max="2" width="18.83203125" customWidth="1"/>
    <col min="4" max="4" width="32" customWidth="1"/>
    <col min="5" max="5" width="22.83203125" customWidth="1"/>
    <col min="6" max="6" width="20.33203125" customWidth="1"/>
    <col min="7" max="7" width="20.1640625" customWidth="1"/>
  </cols>
  <sheetData>
    <row r="2" spans="1:8" x14ac:dyDescent="0.2">
      <c r="A2" t="s">
        <v>35</v>
      </c>
      <c r="B2" t="s">
        <v>239</v>
      </c>
      <c r="C2" t="s">
        <v>226</v>
      </c>
      <c r="D2" t="s">
        <v>227</v>
      </c>
      <c r="E2" t="s">
        <v>228</v>
      </c>
      <c r="F2" t="s">
        <v>229</v>
      </c>
      <c r="G2" t="s">
        <v>4</v>
      </c>
      <c r="H2" t="s">
        <v>230</v>
      </c>
    </row>
    <row r="3" spans="1:8" x14ac:dyDescent="0.2">
      <c r="A3" t="s">
        <v>220</v>
      </c>
      <c r="B3">
        <f>C3/$C$9 * 45000*0.2</f>
        <v>1179.3103448275863</v>
      </c>
      <c r="C3">
        <v>38</v>
      </c>
      <c r="D3">
        <v>3.4929559000000001</v>
      </c>
      <c r="E3">
        <v>32.024334347025302</v>
      </c>
      <c r="F3">
        <v>0.18022362535561801</v>
      </c>
      <c r="G3">
        <f>E3-D3</f>
        <v>28.531378447025304</v>
      </c>
      <c r="H3">
        <f>(B3^2)/(C3*(C3-1))*G3^2</f>
        <v>805223.43209080433</v>
      </c>
    </row>
    <row r="4" spans="1:8" x14ac:dyDescent="0.2">
      <c r="A4" t="s">
        <v>221</v>
      </c>
      <c r="B4">
        <f t="shared" ref="B4:B8" si="0">C4/$C$9 * 45000*0.2</f>
        <v>6889.6551724137935</v>
      </c>
      <c r="C4">
        <v>222</v>
      </c>
      <c r="D4">
        <v>3.4929559000000001</v>
      </c>
      <c r="E4">
        <v>30.82585657504</v>
      </c>
      <c r="F4">
        <v>0.17883184772875399</v>
      </c>
      <c r="G4">
        <f t="shared" ref="G4:G8" si="1">E4-D4</f>
        <v>27.332900675040001</v>
      </c>
      <c r="H4">
        <f t="shared" ref="H4:H7" si="2">(B4^2)/(C4*(C4-1))*G4^2</f>
        <v>722805.03673934995</v>
      </c>
    </row>
    <row r="5" spans="1:8" x14ac:dyDescent="0.2">
      <c r="A5" t="s">
        <v>222</v>
      </c>
      <c r="B5">
        <f t="shared" si="0"/>
        <v>558.62068965517244</v>
      </c>
      <c r="C5">
        <v>18</v>
      </c>
      <c r="D5">
        <v>3.4929559000000001</v>
      </c>
      <c r="E5">
        <v>34.1878512493996</v>
      </c>
      <c r="F5">
        <v>0.17446764705882301</v>
      </c>
      <c r="G5">
        <f t="shared" si="1"/>
        <v>30.694895349399602</v>
      </c>
      <c r="H5">
        <f t="shared" si="2"/>
        <v>960826.38563645876</v>
      </c>
    </row>
    <row r="6" spans="1:8" x14ac:dyDescent="0.2">
      <c r="A6" t="s">
        <v>223</v>
      </c>
      <c r="B6">
        <f t="shared" si="0"/>
        <v>124.13793103448278</v>
      </c>
      <c r="C6">
        <v>4</v>
      </c>
      <c r="D6">
        <v>3.4929559000000001</v>
      </c>
      <c r="E6">
        <v>54.944760936535097</v>
      </c>
      <c r="F6">
        <v>9.5696249999999997E-2</v>
      </c>
      <c r="G6">
        <f t="shared" si="1"/>
        <v>51.451805036535099</v>
      </c>
      <c r="H6">
        <f t="shared" si="2"/>
        <v>3399609.1567646004</v>
      </c>
    </row>
    <row r="7" spans="1:8" x14ac:dyDescent="0.2">
      <c r="A7" t="s">
        <v>224</v>
      </c>
      <c r="B7">
        <f>C7/$C$9 * 45000*0.2</f>
        <v>124.13793103448278</v>
      </c>
      <c r="C7">
        <v>4</v>
      </c>
      <c r="D7">
        <v>3.4929559000000001</v>
      </c>
      <c r="E7">
        <v>42.938313176329302</v>
      </c>
      <c r="F7">
        <v>9.1608562500000199E-2</v>
      </c>
      <c r="G7">
        <f t="shared" si="1"/>
        <v>39.445357276329304</v>
      </c>
      <c r="H7">
        <f t="shared" si="2"/>
        <v>1998110.710475442</v>
      </c>
    </row>
    <row r="8" spans="1:8" x14ac:dyDescent="0.2">
      <c r="A8" t="s">
        <v>225</v>
      </c>
      <c r="B8">
        <f t="shared" si="0"/>
        <v>124.13793103448278</v>
      </c>
      <c r="C8">
        <v>4</v>
      </c>
      <c r="D8">
        <v>3.4929559000000001</v>
      </c>
      <c r="E8">
        <v>19.942913228816401</v>
      </c>
      <c r="F8">
        <v>2.1674249999999898E-2</v>
      </c>
      <c r="G8">
        <f t="shared" si="1"/>
        <v>16.449957328816403</v>
      </c>
      <c r="H8">
        <f>(B8^2)/(C8*(C8-1))*G8^2</f>
        <v>347502.00215157075</v>
      </c>
    </row>
    <row r="9" spans="1:8" x14ac:dyDescent="0.2">
      <c r="A9" s="2" t="s">
        <v>231</v>
      </c>
      <c r="B9" s="2">
        <f>SUM(B3:B8)</f>
        <v>8999.9999999999982</v>
      </c>
      <c r="C9" s="2">
        <f>SUM(C3:C8)</f>
        <v>290</v>
      </c>
      <c r="D9" s="2"/>
      <c r="E9" s="2"/>
      <c r="F9" s="2"/>
      <c r="G9" s="2"/>
      <c r="H9" s="2">
        <f>SUM(H3:H8)</f>
        <v>8234076.7238582261</v>
      </c>
    </row>
    <row r="11" spans="1:8" x14ac:dyDescent="0.2">
      <c r="D11" s="122" t="s">
        <v>232</v>
      </c>
      <c r="E11" s="22"/>
    </row>
    <row r="12" spans="1:8" x14ac:dyDescent="0.2">
      <c r="D12" s="22" t="s">
        <v>234</v>
      </c>
      <c r="E12" s="22">
        <f>H9/(B9^2)</f>
        <v>0.10165526819578061</v>
      </c>
    </row>
    <row r="13" spans="1:8" x14ac:dyDescent="0.2">
      <c r="D13" s="22" t="s">
        <v>240</v>
      </c>
      <c r="E13" s="22">
        <f>'Baseline Model Error'!B80^2 + 'Project Model Error'!B89^2</f>
        <v>0.17414834807845733</v>
      </c>
    </row>
    <row r="14" spans="1:8" x14ac:dyDescent="0.2">
      <c r="D14" s="22" t="s">
        <v>233</v>
      </c>
      <c r="E14" s="22">
        <f>SUM(E12:E13)</f>
        <v>0.27580361627423794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2025-11-27T16:51:16Z</dcterms:modified>
</cp:coreProperties>
</file>